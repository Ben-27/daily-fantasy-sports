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ja\Documents\GitHub\daily-fantasy-sports\FanDuel\Lib\Projections\NFL\"/>
    </mc:Choice>
  </mc:AlternateContent>
  <xr:revisionPtr revIDLastSave="0" documentId="13_ncr:1_{2BF6872E-1F38-4BAB-90AC-363B08AEA5A6}" xr6:coauthVersionLast="47" xr6:coauthVersionMax="47" xr10:uidLastSave="{00000000-0000-0000-0000-000000000000}"/>
  <bookViews>
    <workbookView xWindow="-120" yWindow="-120" windowWidth="29040" windowHeight="15720" activeTab="2" xr2:uid="{6AB0849E-7101-4F6C-9384-153ADDADCD2A}"/>
  </bookViews>
  <sheets>
    <sheet name="raw" sheetId="1" r:id="rId1"/>
    <sheet name="formulas" sheetId="10" r:id="rId2"/>
    <sheet name="clean" sheetId="1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10" l="1"/>
  <c r="D1" i="10" s="1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D28" i="10" s="1"/>
  <c r="C29" i="10"/>
  <c r="D29" i="10" s="1"/>
  <c r="C30" i="10"/>
  <c r="C31" i="10"/>
  <c r="D31" i="10" s="1"/>
  <c r="E31" i="10"/>
  <c r="F31" i="10" s="1" a="1"/>
  <c r="F31" i="10" s="1"/>
  <c r="C32" i="10"/>
  <c r="D32" i="10" s="1"/>
  <c r="C33" i="10"/>
  <c r="D33" i="10" s="1"/>
  <c r="E33" i="10"/>
  <c r="F33" i="10" s="1" a="1"/>
  <c r="F33" i="10" s="1"/>
  <c r="C34" i="10"/>
  <c r="D34" i="10" s="1"/>
  <c r="E34" i="10"/>
  <c r="F34" i="10" s="1" a="1"/>
  <c r="F34" i="10" s="1"/>
  <c r="C35" i="10"/>
  <c r="D35" i="10" s="1"/>
  <c r="E35" i="10"/>
  <c r="F35" i="10" s="1" a="1"/>
  <c r="F35" i="10" s="1"/>
  <c r="C36" i="10"/>
  <c r="D36" i="10" s="1"/>
  <c r="C37" i="10"/>
  <c r="D37" i="10" s="1"/>
  <c r="C38" i="10"/>
  <c r="C39" i="10"/>
  <c r="D39" i="10" s="1"/>
  <c r="E39" i="10"/>
  <c r="F39" i="10" s="1" a="1"/>
  <c r="F39" i="10" s="1"/>
  <c r="C40" i="10"/>
  <c r="D40" i="10" s="1"/>
  <c r="C41" i="10"/>
  <c r="D41" i="10" s="1"/>
  <c r="E41" i="10"/>
  <c r="F41" i="10" s="1" a="1"/>
  <c r="F41" i="10" s="1"/>
  <c r="C42" i="10"/>
  <c r="D42" i="10" s="1"/>
  <c r="E42" i="10"/>
  <c r="F42" i="10" s="1" a="1"/>
  <c r="F42" i="10" s="1"/>
  <c r="C43" i="10"/>
  <c r="D43" i="10" s="1"/>
  <c r="E43" i="10"/>
  <c r="F43" i="10" s="1" a="1"/>
  <c r="F43" i="10" s="1"/>
  <c r="C44" i="10"/>
  <c r="D44" i="10" s="1"/>
  <c r="C45" i="10"/>
  <c r="D45" i="10" s="1"/>
  <c r="C46" i="10"/>
  <c r="C47" i="10"/>
  <c r="D47" i="10" s="1"/>
  <c r="E47" i="10"/>
  <c r="F47" i="10" s="1" a="1"/>
  <c r="F47" i="10" s="1"/>
  <c r="C48" i="10"/>
  <c r="D48" i="10" s="1"/>
  <c r="C49" i="10"/>
  <c r="D49" i="10" s="1"/>
  <c r="E49" i="10"/>
  <c r="F49" i="10" s="1" a="1"/>
  <c r="F49" i="10" s="1"/>
  <c r="C50" i="10"/>
  <c r="D50" i="10" s="1"/>
  <c r="E50" i="10"/>
  <c r="F50" i="10" s="1" a="1"/>
  <c r="F50" i="10" s="1"/>
  <c r="C51" i="10"/>
  <c r="D51" i="10" s="1"/>
  <c r="E51" i="10"/>
  <c r="F51" i="10" s="1" a="1"/>
  <c r="F51" i="10" s="1"/>
  <c r="C52" i="10"/>
  <c r="D52" i="10" s="1"/>
  <c r="C53" i="10"/>
  <c r="D53" i="10" s="1"/>
  <c r="C54" i="10"/>
  <c r="C55" i="10"/>
  <c r="D55" i="10" s="1"/>
  <c r="E55" i="10"/>
  <c r="F55" i="10" s="1" a="1"/>
  <c r="F55" i="10" s="1"/>
  <c r="C56" i="10"/>
  <c r="D56" i="10" s="1"/>
  <c r="C57" i="10"/>
  <c r="D57" i="10" s="1"/>
  <c r="E57" i="10"/>
  <c r="F57" i="10" s="1" a="1"/>
  <c r="F57" i="10" s="1"/>
  <c r="C58" i="10"/>
  <c r="D58" i="10" s="1"/>
  <c r="E58" i="10"/>
  <c r="F58" i="10" s="1" a="1"/>
  <c r="F58" i="10" s="1"/>
  <c r="C59" i="10"/>
  <c r="D59" i="10" s="1"/>
  <c r="E59" i="10"/>
  <c r="F59" i="10" s="1" a="1"/>
  <c r="F59" i="10" s="1"/>
  <c r="C60" i="10"/>
  <c r="D60" i="10" s="1"/>
  <c r="C61" i="10"/>
  <c r="D61" i="10" s="1"/>
  <c r="C62" i="10"/>
  <c r="C63" i="10"/>
  <c r="D63" i="10" s="1"/>
  <c r="E63" i="10"/>
  <c r="F63" i="10" s="1" a="1"/>
  <c r="F63" i="10" s="1"/>
  <c r="C64" i="10"/>
  <c r="D64" i="10" s="1"/>
  <c r="C65" i="10"/>
  <c r="D65" i="10" s="1"/>
  <c r="E65" i="10"/>
  <c r="F65" i="10" s="1" a="1"/>
  <c r="F65" i="10" s="1"/>
  <c r="C66" i="10"/>
  <c r="D66" i="10" s="1"/>
  <c r="E66" i="10"/>
  <c r="F66" i="10" s="1" a="1"/>
  <c r="F66" i="10" s="1"/>
  <c r="C67" i="10"/>
  <c r="D67" i="10" s="1"/>
  <c r="E67" i="10"/>
  <c r="F67" i="10" s="1" a="1"/>
  <c r="F67" i="10" s="1"/>
  <c r="C68" i="10"/>
  <c r="D68" i="10" s="1"/>
  <c r="C69" i="10"/>
  <c r="D69" i="10" s="1"/>
  <c r="E69" i="10"/>
  <c r="F69" i="10" s="1" a="1"/>
  <c r="F69" i="10" s="1"/>
  <c r="C70" i="10"/>
  <c r="C71" i="10"/>
  <c r="D71" i="10" s="1"/>
  <c r="E71" i="10"/>
  <c r="F71" i="10" s="1" a="1"/>
  <c r="F71" i="10" s="1"/>
  <c r="C72" i="10"/>
  <c r="D72" i="10" s="1"/>
  <c r="C73" i="10"/>
  <c r="D73" i="10" s="1"/>
  <c r="E73" i="10"/>
  <c r="F73" i="10" s="1" a="1"/>
  <c r="F73" i="10" s="1"/>
  <c r="C74" i="10"/>
  <c r="D74" i="10" s="1"/>
  <c r="E74" i="10"/>
  <c r="F74" i="10" s="1" a="1"/>
  <c r="F74" i="10" s="1"/>
  <c r="C75" i="10"/>
  <c r="D75" i="10" s="1"/>
  <c r="E75" i="10"/>
  <c r="F75" i="10" s="1" a="1"/>
  <c r="F75" i="10" s="1"/>
  <c r="C76" i="10"/>
  <c r="D76" i="10" s="1"/>
  <c r="C77" i="10"/>
  <c r="D77" i="10" s="1"/>
  <c r="E77" i="10"/>
  <c r="F77" i="10" s="1" a="1"/>
  <c r="F77" i="10" s="1"/>
  <c r="C78" i="10"/>
  <c r="C79" i="10"/>
  <c r="D79" i="10" s="1"/>
  <c r="E79" i="10"/>
  <c r="F79" i="10" s="1" a="1"/>
  <c r="F79" i="10" s="1"/>
  <c r="C80" i="10"/>
  <c r="D80" i="10" s="1"/>
  <c r="C81" i="10"/>
  <c r="D81" i="10" s="1"/>
  <c r="E81" i="10"/>
  <c r="F81" i="10" s="1" a="1"/>
  <c r="F81" i="10" s="1"/>
  <c r="C82" i="10"/>
  <c r="D82" i="10" s="1"/>
  <c r="E82" i="10"/>
  <c r="F82" i="10" s="1" a="1"/>
  <c r="F82" i="10" s="1"/>
  <c r="C83" i="10"/>
  <c r="D83" i="10" s="1"/>
  <c r="E83" i="10"/>
  <c r="F83" i="10" s="1" a="1"/>
  <c r="F83" i="10" s="1"/>
  <c r="C84" i="10"/>
  <c r="C85" i="10"/>
  <c r="D85" i="10" s="1"/>
  <c r="E85" i="10"/>
  <c r="F85" i="10" a="1"/>
  <c r="F85" i="10" s="1"/>
  <c r="C86" i="10"/>
  <c r="E86" i="10" s="1"/>
  <c r="F86" i="10" s="1" a="1"/>
  <c r="F86" i="10" s="1"/>
  <c r="D86" i="10"/>
  <c r="C87" i="10"/>
  <c r="E87" i="10" s="1"/>
  <c r="F87" i="10" s="1" a="1"/>
  <c r="F87" i="10" s="1"/>
  <c r="D87" i="10"/>
  <c r="C88" i="10"/>
  <c r="E88" i="10" s="1"/>
  <c r="F88" i="10" s="1" a="1"/>
  <c r="F88" i="10" s="1"/>
  <c r="D88" i="10"/>
  <c r="C89" i="10"/>
  <c r="E89" i="10" s="1"/>
  <c r="F89" i="10" s="1" a="1"/>
  <c r="F89" i="10" s="1"/>
  <c r="D89" i="10"/>
  <c r="C90" i="10"/>
  <c r="E90" i="10" s="1"/>
  <c r="F90" i="10" s="1" a="1"/>
  <c r="F90" i="10" s="1"/>
  <c r="D90" i="10"/>
  <c r="C91" i="10"/>
  <c r="E91" i="10" s="1"/>
  <c r="F91" i="10" s="1" a="1"/>
  <c r="F91" i="10" s="1"/>
  <c r="D91" i="10"/>
  <c r="C92" i="10"/>
  <c r="E92" i="10" s="1"/>
  <c r="F92" i="10" s="1" a="1"/>
  <c r="F92" i="10" s="1"/>
  <c r="D92" i="10"/>
  <c r="C93" i="10"/>
  <c r="E93" i="10" s="1"/>
  <c r="F93" i="10" s="1" a="1"/>
  <c r="F93" i="10" s="1"/>
  <c r="D93" i="10"/>
  <c r="C94" i="10"/>
  <c r="E94" i="10" s="1"/>
  <c r="F94" i="10" s="1" a="1"/>
  <c r="F94" i="10" s="1"/>
  <c r="D94" i="10"/>
  <c r="C95" i="10"/>
  <c r="E95" i="10" s="1"/>
  <c r="F95" i="10" s="1" a="1"/>
  <c r="F95" i="10" s="1"/>
  <c r="D95" i="10"/>
  <c r="C96" i="10"/>
  <c r="E96" i="10" s="1"/>
  <c r="F96" i="10" s="1" a="1"/>
  <c r="F96" i="10" s="1"/>
  <c r="D96" i="10"/>
  <c r="C97" i="10"/>
  <c r="E97" i="10" s="1"/>
  <c r="F97" i="10" s="1" a="1"/>
  <c r="F97" i="10" s="1"/>
  <c r="D97" i="10"/>
  <c r="C98" i="10"/>
  <c r="E98" i="10" s="1"/>
  <c r="F98" i="10" s="1" a="1"/>
  <c r="F98" i="10" s="1"/>
  <c r="D98" i="10"/>
  <c r="C99" i="10"/>
  <c r="E99" i="10" s="1"/>
  <c r="F99" i="10" s="1" a="1"/>
  <c r="F99" i="10" s="1"/>
  <c r="D99" i="10"/>
  <c r="C100" i="10"/>
  <c r="E100" i="10" s="1"/>
  <c r="F100" i="10" s="1" a="1"/>
  <c r="F100" i="10" s="1"/>
  <c r="D100" i="10"/>
  <c r="C101" i="10"/>
  <c r="E101" i="10" s="1"/>
  <c r="F101" i="10" s="1" a="1"/>
  <c r="F101" i="10" s="1"/>
  <c r="D101" i="10"/>
  <c r="C102" i="10"/>
  <c r="E102" i="10" s="1"/>
  <c r="F102" i="10" s="1" a="1"/>
  <c r="F102" i="10" s="1"/>
  <c r="D102" i="10"/>
  <c r="C103" i="10"/>
  <c r="E103" i="10" s="1"/>
  <c r="F103" i="10" s="1" a="1"/>
  <c r="F103" i="10" s="1"/>
  <c r="D103" i="10"/>
  <c r="C104" i="10"/>
  <c r="E104" i="10" s="1"/>
  <c r="F104" i="10" s="1" a="1"/>
  <c r="F104" i="10" s="1"/>
  <c r="D104" i="10"/>
  <c r="C105" i="10"/>
  <c r="E105" i="10" s="1"/>
  <c r="F105" i="10" s="1" a="1"/>
  <c r="F105" i="10" s="1"/>
  <c r="D105" i="10"/>
  <c r="C106" i="10"/>
  <c r="E106" i="10" s="1"/>
  <c r="F106" i="10" s="1" a="1"/>
  <c r="F106" i="10" s="1"/>
  <c r="D106" i="10"/>
  <c r="C107" i="10"/>
  <c r="E107" i="10" s="1"/>
  <c r="F107" i="10" s="1" a="1"/>
  <c r="F107" i="10" s="1"/>
  <c r="D107" i="10"/>
  <c r="C108" i="10"/>
  <c r="E108" i="10" s="1"/>
  <c r="F108" i="10" s="1" a="1"/>
  <c r="F108" i="10" s="1"/>
  <c r="D108" i="10"/>
  <c r="C109" i="10"/>
  <c r="E109" i="10" s="1"/>
  <c r="F109" i="10" s="1" a="1"/>
  <c r="F109" i="10" s="1"/>
  <c r="D109" i="10"/>
  <c r="C110" i="10"/>
  <c r="E110" i="10" s="1"/>
  <c r="F110" i="10" s="1" a="1"/>
  <c r="F110" i="10" s="1"/>
  <c r="D110" i="10"/>
  <c r="C111" i="10"/>
  <c r="E111" i="10" s="1"/>
  <c r="F111" i="10" s="1" a="1"/>
  <c r="F111" i="10" s="1"/>
  <c r="D111" i="10"/>
  <c r="C112" i="10"/>
  <c r="E112" i="10" s="1"/>
  <c r="F112" i="10" s="1" a="1"/>
  <c r="F112" i="10" s="1"/>
  <c r="D112" i="10"/>
  <c r="C113" i="10"/>
  <c r="E113" i="10" s="1"/>
  <c r="F113" i="10" s="1" a="1"/>
  <c r="F113" i="10" s="1"/>
  <c r="D113" i="10"/>
  <c r="C114" i="10"/>
  <c r="E114" i="10" s="1"/>
  <c r="F114" i="10" s="1" a="1"/>
  <c r="F114" i="10" s="1"/>
  <c r="D114" i="10"/>
  <c r="C115" i="10"/>
  <c r="E115" i="10" s="1"/>
  <c r="F115" i="10" s="1" a="1"/>
  <c r="F115" i="10" s="1"/>
  <c r="D115" i="10"/>
  <c r="C116" i="10"/>
  <c r="E116" i="10" s="1"/>
  <c r="F116" i="10" s="1" a="1"/>
  <c r="F116" i="10" s="1"/>
  <c r="D116" i="10"/>
  <c r="C117" i="10"/>
  <c r="E117" i="10" s="1"/>
  <c r="F117" i="10" s="1" a="1"/>
  <c r="F117" i="10" s="1"/>
  <c r="D117" i="10"/>
  <c r="C118" i="10"/>
  <c r="E118" i="10" s="1"/>
  <c r="F118" i="10" s="1" a="1"/>
  <c r="F118" i="10" s="1"/>
  <c r="D118" i="10"/>
  <c r="C119" i="10"/>
  <c r="E119" i="10" s="1"/>
  <c r="F119" i="10" s="1" a="1"/>
  <c r="F119" i="10" s="1"/>
  <c r="D119" i="10"/>
  <c r="C120" i="10"/>
  <c r="E120" i="10" s="1"/>
  <c r="F120" i="10" s="1" a="1"/>
  <c r="F120" i="10" s="1"/>
  <c r="D120" i="10"/>
  <c r="C121" i="10"/>
  <c r="E121" i="10" s="1"/>
  <c r="F121" i="10" s="1" a="1"/>
  <c r="F121" i="10" s="1"/>
  <c r="D121" i="10"/>
  <c r="C122" i="10"/>
  <c r="E122" i="10" s="1"/>
  <c r="F122" i="10" s="1" a="1"/>
  <c r="F122" i="10" s="1"/>
  <c r="D122" i="10"/>
  <c r="C123" i="10"/>
  <c r="E123" i="10" s="1"/>
  <c r="F123" i="10" s="1" a="1"/>
  <c r="F123" i="10" s="1"/>
  <c r="D123" i="10"/>
  <c r="C124" i="10"/>
  <c r="E124" i="10" s="1"/>
  <c r="F124" i="10" s="1" a="1"/>
  <c r="F124" i="10" s="1"/>
  <c r="D124" i="10"/>
  <c r="C125" i="10"/>
  <c r="E125" i="10" s="1"/>
  <c r="F125" i="10" s="1" a="1"/>
  <c r="F125" i="10" s="1"/>
  <c r="D125" i="10"/>
  <c r="C126" i="10"/>
  <c r="E126" i="10" s="1"/>
  <c r="F126" i="10" s="1" a="1"/>
  <c r="F126" i="10" s="1"/>
  <c r="D126" i="10"/>
  <c r="C127" i="10"/>
  <c r="E127" i="10" s="1"/>
  <c r="F127" i="10" s="1" a="1"/>
  <c r="F127" i="10" s="1"/>
  <c r="D127" i="10"/>
  <c r="C128" i="10"/>
  <c r="E128" i="10" s="1"/>
  <c r="F128" i="10" s="1" a="1"/>
  <c r="F128" i="10" s="1"/>
  <c r="D128" i="10"/>
  <c r="C129" i="10"/>
  <c r="D129" i="10" s="1"/>
  <c r="C130" i="10"/>
  <c r="D130" i="10" s="1"/>
  <c r="C131" i="10"/>
  <c r="D131" i="10" s="1"/>
  <c r="C132" i="10"/>
  <c r="D132" i="10" s="1"/>
  <c r="C133" i="10"/>
  <c r="D133" i="10" s="1"/>
  <c r="C134" i="10"/>
  <c r="D134" i="10" s="1"/>
  <c r="C135" i="10"/>
  <c r="D135" i="10" s="1"/>
  <c r="C136" i="10"/>
  <c r="D136" i="10" s="1"/>
  <c r="C137" i="10"/>
  <c r="D137" i="10" s="1"/>
  <c r="C138" i="10"/>
  <c r="D138" i="10" s="1"/>
  <c r="C139" i="10"/>
  <c r="D139" i="10" s="1"/>
  <c r="C140" i="10"/>
  <c r="D140" i="10" s="1"/>
  <c r="C141" i="10"/>
  <c r="D141" i="10" s="1"/>
  <c r="C142" i="10"/>
  <c r="D142" i="10" s="1"/>
  <c r="C143" i="10"/>
  <c r="D143" i="10" s="1"/>
  <c r="E143" i="10"/>
  <c r="F143" i="10" s="1" a="1"/>
  <c r="F143" i="10" s="1"/>
  <c r="C144" i="10"/>
  <c r="D144" i="10" s="1"/>
  <c r="E144" i="10"/>
  <c r="F144" i="10" s="1" a="1"/>
  <c r="F144" i="10" s="1"/>
  <c r="C145" i="10"/>
  <c r="D145" i="10" s="1"/>
  <c r="E145" i="10"/>
  <c r="F145" i="10" s="1" a="1"/>
  <c r="F145" i="10" s="1"/>
  <c r="C146" i="10"/>
  <c r="D146" i="10" s="1"/>
  <c r="E146" i="10"/>
  <c r="F146" i="10" s="1" a="1"/>
  <c r="F146" i="10" s="1"/>
  <c r="C147" i="10"/>
  <c r="D147" i="10" s="1"/>
  <c r="E147" i="10"/>
  <c r="F147" i="10" s="1" a="1"/>
  <c r="F147" i="10" s="1"/>
  <c r="C148" i="10"/>
  <c r="D148" i="10" s="1"/>
  <c r="E148" i="10"/>
  <c r="F148" i="10" s="1" a="1"/>
  <c r="F148" i="10" s="1"/>
  <c r="C149" i="10"/>
  <c r="D149" i="10" s="1"/>
  <c r="E149" i="10"/>
  <c r="F149" i="10" s="1" a="1"/>
  <c r="F149" i="10" s="1"/>
  <c r="C150" i="10"/>
  <c r="D150" i="10" s="1"/>
  <c r="E150" i="10"/>
  <c r="F150" i="10" s="1" a="1"/>
  <c r="F150" i="10" s="1"/>
  <c r="C151" i="10"/>
  <c r="D151" i="10" s="1"/>
  <c r="E151" i="10"/>
  <c r="F151" i="10" s="1" a="1"/>
  <c r="F151" i="10" s="1"/>
  <c r="C152" i="10"/>
  <c r="D152" i="10" s="1"/>
  <c r="E152" i="10"/>
  <c r="F152" i="10" s="1" a="1"/>
  <c r="F152" i="10" s="1"/>
  <c r="C153" i="10"/>
  <c r="D153" i="10" s="1"/>
  <c r="E153" i="10"/>
  <c r="F153" i="10" s="1" a="1"/>
  <c r="F153" i="10" s="1"/>
  <c r="C154" i="10"/>
  <c r="D154" i="10" s="1"/>
  <c r="E154" i="10"/>
  <c r="F154" i="10" s="1" a="1"/>
  <c r="F154" i="10" s="1"/>
  <c r="C155" i="10"/>
  <c r="D155" i="10" s="1"/>
  <c r="E155" i="10"/>
  <c r="F155" i="10" s="1" a="1"/>
  <c r="F155" i="10" s="1"/>
  <c r="C156" i="10"/>
  <c r="D156" i="10" s="1"/>
  <c r="E156" i="10"/>
  <c r="F156" i="10" s="1" a="1"/>
  <c r="F156" i="10" s="1"/>
  <c r="C157" i="10"/>
  <c r="D157" i="10" s="1"/>
  <c r="C158" i="10"/>
  <c r="D158" i="10" s="1"/>
  <c r="E158" i="10"/>
  <c r="F158" i="10" s="1" a="1"/>
  <c r="F158" i="10" s="1"/>
  <c r="C159" i="10"/>
  <c r="D159" i="10" s="1"/>
  <c r="C160" i="10"/>
  <c r="D160" i="10" s="1"/>
  <c r="E160" i="10"/>
  <c r="F160" i="10" s="1" a="1"/>
  <c r="F160" i="10" s="1"/>
  <c r="C161" i="10"/>
  <c r="D161" i="10" s="1"/>
  <c r="C162" i="10"/>
  <c r="D162" i="10" s="1"/>
  <c r="E162" i="10"/>
  <c r="F162" i="10" s="1" a="1"/>
  <c r="F162" i="10" s="1"/>
  <c r="C163" i="10"/>
  <c r="D163" i="10" s="1"/>
  <c r="C164" i="10"/>
  <c r="D164" i="10" s="1"/>
  <c r="E164" i="10"/>
  <c r="F164" i="10" s="1" a="1"/>
  <c r="F164" i="10" s="1"/>
  <c r="C165" i="10"/>
  <c r="D165" i="10" s="1"/>
  <c r="C166" i="10"/>
  <c r="D166" i="10" s="1"/>
  <c r="E166" i="10"/>
  <c r="F166" i="10" s="1" a="1"/>
  <c r="F166" i="10" s="1"/>
  <c r="C167" i="10"/>
  <c r="D167" i="10" s="1"/>
  <c r="C168" i="10"/>
  <c r="D168" i="10" s="1"/>
  <c r="E168" i="10"/>
  <c r="F168" i="10" s="1" a="1"/>
  <c r="F168" i="10" s="1"/>
  <c r="C169" i="10"/>
  <c r="D169" i="10" s="1"/>
  <c r="C170" i="10"/>
  <c r="D170" i="10" s="1"/>
  <c r="E170" i="10"/>
  <c r="F170" i="10" s="1" a="1"/>
  <c r="F170" i="10" s="1"/>
  <c r="C171" i="10"/>
  <c r="D171" i="10" s="1"/>
  <c r="C172" i="10"/>
  <c r="D172" i="10" s="1"/>
  <c r="E172" i="10"/>
  <c r="F172" i="10" s="1" a="1"/>
  <c r="F172" i="10" s="1"/>
  <c r="C173" i="10"/>
  <c r="D173" i="10" s="1"/>
  <c r="C174" i="10"/>
  <c r="D174" i="10" s="1"/>
  <c r="E174" i="10"/>
  <c r="F174" i="10" s="1" a="1"/>
  <c r="F174" i="10" s="1"/>
  <c r="C175" i="10"/>
  <c r="D175" i="10" s="1"/>
  <c r="C176" i="10"/>
  <c r="D176" i="10" s="1"/>
  <c r="E176" i="10"/>
  <c r="F176" i="10" s="1" a="1"/>
  <c r="F176" i="10" s="1"/>
  <c r="C177" i="10"/>
  <c r="D177" i="10" s="1"/>
  <c r="C178" i="10"/>
  <c r="D178" i="10" s="1"/>
  <c r="E178" i="10"/>
  <c r="F178" i="10" s="1" a="1"/>
  <c r="F178" i="10" s="1"/>
  <c r="C179" i="10"/>
  <c r="D179" i="10" s="1"/>
  <c r="C180" i="10"/>
  <c r="D180" i="10" s="1"/>
  <c r="E180" i="10"/>
  <c r="F180" i="10" s="1" a="1"/>
  <c r="F180" i="10" s="1"/>
  <c r="C181" i="10"/>
  <c r="D181" i="10" s="1"/>
  <c r="C182" i="10"/>
  <c r="E182" i="10" s="1"/>
  <c r="D182" i="10"/>
  <c r="F182" i="10" a="1"/>
  <c r="F182" i="10" s="1"/>
  <c r="C183" i="10"/>
  <c r="C184" i="10"/>
  <c r="D184" i="10" s="1"/>
  <c r="C185" i="10"/>
  <c r="D185" i="10"/>
  <c r="C186" i="10"/>
  <c r="D186" i="10"/>
  <c r="C187" i="10"/>
  <c r="D187" i="10" s="1"/>
  <c r="C188" i="10"/>
  <c r="D188" i="10" s="1"/>
  <c r="C189" i="10"/>
  <c r="D189" i="10"/>
  <c r="C190" i="10"/>
  <c r="D190" i="10"/>
  <c r="C191" i="10"/>
  <c r="C192" i="10"/>
  <c r="D192" i="10" s="1"/>
  <c r="C193" i="10"/>
  <c r="D193" i="10"/>
  <c r="C194" i="10"/>
  <c r="D194" i="10"/>
  <c r="C195" i="10"/>
  <c r="D195" i="10" s="1"/>
  <c r="C196" i="10"/>
  <c r="C197" i="10"/>
  <c r="D197" i="10"/>
  <c r="C198" i="10"/>
  <c r="D198" i="10"/>
  <c r="C199" i="10"/>
  <c r="C200" i="10"/>
  <c r="D200" i="10" s="1"/>
  <c r="C201" i="10"/>
  <c r="D201" i="10"/>
  <c r="C202" i="10"/>
  <c r="D202" i="10"/>
  <c r="C203" i="10"/>
  <c r="D203" i="10"/>
  <c r="C204" i="10"/>
  <c r="D204" i="10"/>
  <c r="C205" i="10"/>
  <c r="D205" i="10"/>
  <c r="C206" i="10"/>
  <c r="D206" i="10"/>
  <c r="C207" i="10"/>
  <c r="D207" i="10"/>
  <c r="C208" i="10"/>
  <c r="D208" i="10"/>
  <c r="C209" i="10"/>
  <c r="D209" i="10"/>
  <c r="C210" i="10"/>
  <c r="D210" i="10"/>
  <c r="C211" i="10"/>
  <c r="D211" i="10"/>
  <c r="C212" i="10"/>
  <c r="D212" i="10"/>
  <c r="C213" i="10"/>
  <c r="D213" i="10"/>
  <c r="C214" i="10"/>
  <c r="D214" i="10"/>
  <c r="C215" i="10"/>
  <c r="D215" i="10"/>
  <c r="C216" i="10"/>
  <c r="D216" i="10"/>
  <c r="C217" i="10"/>
  <c r="D217" i="10"/>
  <c r="C218" i="10"/>
  <c r="D218" i="10"/>
  <c r="C219" i="10"/>
  <c r="D219" i="10"/>
  <c r="C220" i="10"/>
  <c r="D220" i="10"/>
  <c r="C221" i="10"/>
  <c r="D221" i="10"/>
  <c r="C222" i="10"/>
  <c r="D222" i="10"/>
  <c r="C223" i="10"/>
  <c r="D223" i="10"/>
  <c r="C224" i="10"/>
  <c r="D224" i="10"/>
  <c r="C225" i="10"/>
  <c r="D225" i="10"/>
  <c r="C226" i="10"/>
  <c r="D226" i="10"/>
  <c r="C227" i="10"/>
  <c r="D227" i="10"/>
  <c r="C228" i="10"/>
  <c r="D228" i="10"/>
  <c r="C229" i="10"/>
  <c r="D229" i="10"/>
  <c r="C230" i="10"/>
  <c r="D230" i="10"/>
  <c r="C231" i="10"/>
  <c r="D231" i="10"/>
  <c r="C232" i="10"/>
  <c r="D232" i="10"/>
  <c r="C233" i="10"/>
  <c r="D233" i="10"/>
  <c r="C234" i="10"/>
  <c r="D234" i="10"/>
  <c r="C235" i="10"/>
  <c r="D235" i="10"/>
  <c r="C236" i="10"/>
  <c r="D236" i="10"/>
  <c r="C237" i="10"/>
  <c r="D237" i="10"/>
  <c r="C238" i="10"/>
  <c r="D238" i="10"/>
  <c r="C239" i="10"/>
  <c r="D239" i="10"/>
  <c r="C240" i="10"/>
  <c r="D240" i="10"/>
  <c r="C241" i="10"/>
  <c r="D241" i="10"/>
  <c r="C242" i="10"/>
  <c r="D242" i="10"/>
  <c r="C243" i="10"/>
  <c r="D243" i="10"/>
  <c r="C244" i="10"/>
  <c r="D244" i="10"/>
  <c r="C245" i="10"/>
  <c r="D245" i="10"/>
  <c r="C246" i="10"/>
  <c r="D246" i="10"/>
  <c r="C247" i="10"/>
  <c r="D247" i="10"/>
  <c r="C248" i="10"/>
  <c r="D248" i="10"/>
  <c r="C249" i="10"/>
  <c r="D249" i="10"/>
  <c r="C250" i="10"/>
  <c r="D250" i="10"/>
  <c r="C251" i="10"/>
  <c r="D251" i="10"/>
  <c r="C252" i="10"/>
  <c r="D252" i="10"/>
  <c r="C253" i="10"/>
  <c r="D253" i="10"/>
  <c r="C254" i="10"/>
  <c r="D254" i="10"/>
  <c r="C255" i="10"/>
  <c r="D255" i="10"/>
  <c r="C256" i="10"/>
  <c r="D256" i="10"/>
  <c r="C257" i="10"/>
  <c r="D257" i="10"/>
  <c r="C258" i="10"/>
  <c r="D258" i="10"/>
  <c r="C259" i="10"/>
  <c r="D259" i="10"/>
  <c r="C260" i="10"/>
  <c r="D260" i="10"/>
  <c r="C261" i="10"/>
  <c r="D261" i="10"/>
  <c r="C262" i="10"/>
  <c r="D262" i="10" s="1"/>
  <c r="C263" i="10"/>
  <c r="C264" i="10"/>
  <c r="D264" i="10"/>
  <c r="C265" i="10"/>
  <c r="D265" i="10"/>
  <c r="C266" i="10"/>
  <c r="D266" i="10" s="1"/>
  <c r="C267" i="10"/>
  <c r="D267" i="10" s="1"/>
  <c r="C268" i="10"/>
  <c r="D268" i="10"/>
  <c r="C269" i="10"/>
  <c r="D269" i="10"/>
  <c r="C270" i="10"/>
  <c r="D270" i="10" s="1"/>
  <c r="C271" i="10"/>
  <c r="C272" i="10"/>
  <c r="D272" i="10"/>
  <c r="C273" i="10"/>
  <c r="D273" i="10"/>
  <c r="C274" i="10"/>
  <c r="C275" i="10"/>
  <c r="D275" i="10" s="1"/>
  <c r="E274" i="10" l="1"/>
  <c r="F274" i="10" s="1" a="1"/>
  <c r="F274" i="10" s="1"/>
  <c r="E196" i="10"/>
  <c r="F196" i="10" s="1" a="1"/>
  <c r="F196" i="10" s="1"/>
  <c r="D274" i="10"/>
  <c r="E271" i="10"/>
  <c r="F271" i="10" s="1" a="1"/>
  <c r="F271" i="10" s="1"/>
  <c r="E263" i="10"/>
  <c r="F263" i="10" s="1" a="1"/>
  <c r="F263" i="10" s="1"/>
  <c r="E199" i="10"/>
  <c r="F199" i="10" s="1" a="1"/>
  <c r="F199" i="10" s="1"/>
  <c r="D196" i="10"/>
  <c r="E191" i="10"/>
  <c r="F191" i="10" s="1" a="1"/>
  <c r="F191" i="10" s="1"/>
  <c r="E183" i="10"/>
  <c r="F183" i="10" s="1" a="1"/>
  <c r="F183" i="10" s="1"/>
  <c r="E261" i="10"/>
  <c r="F261" i="10" s="1" a="1"/>
  <c r="F261" i="10" s="1"/>
  <c r="E257" i="10"/>
  <c r="F257" i="10" s="1" a="1"/>
  <c r="F257" i="10" s="1"/>
  <c r="E253" i="10"/>
  <c r="F253" i="10" s="1" a="1"/>
  <c r="F253" i="10" s="1"/>
  <c r="E247" i="10"/>
  <c r="F247" i="10" s="1" a="1"/>
  <c r="F247" i="10" s="1"/>
  <c r="E243" i="10"/>
  <c r="F243" i="10" s="1" a="1"/>
  <c r="F243" i="10" s="1"/>
  <c r="E241" i="10"/>
  <c r="F241" i="10" s="1" a="1"/>
  <c r="F241" i="10" s="1"/>
  <c r="E237" i="10"/>
  <c r="F237" i="10" s="1" a="1"/>
  <c r="F237" i="10" s="1"/>
  <c r="E233" i="10"/>
  <c r="F233" i="10" s="1" a="1"/>
  <c r="F233" i="10" s="1"/>
  <c r="E229" i="10"/>
  <c r="F229" i="10" s="1" a="1"/>
  <c r="F229" i="10" s="1"/>
  <c r="E225" i="10"/>
  <c r="F225" i="10" s="1" a="1"/>
  <c r="F225" i="10" s="1"/>
  <c r="E221" i="10"/>
  <c r="F221" i="10" s="1" a="1"/>
  <c r="F221" i="10" s="1"/>
  <c r="E217" i="10"/>
  <c r="F217" i="10" s="1" a="1"/>
  <c r="F217" i="10" s="1"/>
  <c r="E213" i="10"/>
  <c r="F213" i="10" s="1" a="1"/>
  <c r="F213" i="10" s="1"/>
  <c r="E209" i="10"/>
  <c r="F209" i="10" s="1" a="1"/>
  <c r="F209" i="10" s="1"/>
  <c r="E205" i="10"/>
  <c r="F205" i="10" s="1" a="1"/>
  <c r="F205" i="10" s="1"/>
  <c r="E201" i="10"/>
  <c r="F201" i="10" s="1" a="1"/>
  <c r="F201" i="10" s="1"/>
  <c r="E185" i="10"/>
  <c r="F185" i="10" s="1" a="1"/>
  <c r="F185" i="10" s="1"/>
  <c r="E272" i="10"/>
  <c r="F272" i="10" s="1" a="1"/>
  <c r="F272" i="10" s="1"/>
  <c r="E264" i="10"/>
  <c r="F264" i="10" s="1" a="1"/>
  <c r="F264" i="10" s="1"/>
  <c r="E198" i="10"/>
  <c r="F198" i="10" s="1" a="1"/>
  <c r="F198" i="10" s="1"/>
  <c r="E190" i="10"/>
  <c r="F190" i="10" s="1" a="1"/>
  <c r="F190" i="10" s="1"/>
  <c r="E188" i="10"/>
  <c r="F188" i="10" s="1" a="1"/>
  <c r="F188" i="10" s="1"/>
  <c r="E269" i="10"/>
  <c r="F269" i="10" s="1" a="1"/>
  <c r="F269" i="10" s="1"/>
  <c r="E259" i="10"/>
  <c r="F259" i="10" s="1" a="1"/>
  <c r="F259" i="10" s="1"/>
  <c r="E255" i="10"/>
  <c r="F255" i="10" s="1" a="1"/>
  <c r="F255" i="10" s="1"/>
  <c r="E251" i="10"/>
  <c r="F251" i="10" s="1" a="1"/>
  <c r="F251" i="10" s="1"/>
  <c r="E249" i="10"/>
  <c r="F249" i="10" s="1" a="1"/>
  <c r="F249" i="10" s="1"/>
  <c r="E245" i="10"/>
  <c r="F245" i="10" s="1" a="1"/>
  <c r="F245" i="10" s="1"/>
  <c r="E239" i="10"/>
  <c r="F239" i="10" s="1" a="1"/>
  <c r="F239" i="10" s="1"/>
  <c r="E235" i="10"/>
  <c r="F235" i="10" s="1" a="1"/>
  <c r="F235" i="10" s="1"/>
  <c r="E231" i="10"/>
  <c r="F231" i="10" s="1" a="1"/>
  <c r="F231" i="10" s="1"/>
  <c r="E227" i="10"/>
  <c r="F227" i="10" s="1" a="1"/>
  <c r="F227" i="10" s="1"/>
  <c r="E223" i="10"/>
  <c r="F223" i="10" s="1" a="1"/>
  <c r="F223" i="10" s="1"/>
  <c r="E219" i="10"/>
  <c r="F219" i="10" s="1" a="1"/>
  <c r="F219" i="10" s="1"/>
  <c r="E215" i="10"/>
  <c r="F215" i="10" s="1" a="1"/>
  <c r="F215" i="10" s="1"/>
  <c r="E211" i="10"/>
  <c r="F211" i="10" s="1" a="1"/>
  <c r="F211" i="10" s="1"/>
  <c r="E207" i="10"/>
  <c r="F207" i="10" s="1" a="1"/>
  <c r="F207" i="10" s="1"/>
  <c r="E203" i="10"/>
  <c r="F203" i="10" s="1" a="1"/>
  <c r="F203" i="10" s="1"/>
  <c r="E193" i="10"/>
  <c r="F193" i="10" s="1" a="1"/>
  <c r="F193" i="10" s="1"/>
  <c r="E275" i="10"/>
  <c r="F275" i="10" s="1" a="1"/>
  <c r="F275" i="10" s="1"/>
  <c r="E267" i="10"/>
  <c r="F267" i="10" s="1" a="1"/>
  <c r="F267" i="10" s="1"/>
  <c r="E195" i="10"/>
  <c r="F195" i="10" s="1" a="1"/>
  <c r="F195" i="10" s="1"/>
  <c r="E187" i="10"/>
  <c r="F187" i="10" s="1" a="1"/>
  <c r="F187" i="10" s="1"/>
  <c r="E270" i="10"/>
  <c r="F270" i="10" s="1" a="1"/>
  <c r="F270" i="10" s="1"/>
  <c r="E262" i="10"/>
  <c r="F262" i="10" s="1" a="1"/>
  <c r="F262" i="10" s="1"/>
  <c r="E200" i="10"/>
  <c r="F200" i="10" s="1" a="1"/>
  <c r="F200" i="10" s="1"/>
  <c r="E192" i="10"/>
  <c r="F192" i="10" s="1" a="1"/>
  <c r="F192" i="10" s="1"/>
  <c r="E184" i="10"/>
  <c r="F184" i="10" s="1" a="1"/>
  <c r="F184" i="10" s="1"/>
  <c r="E273" i="10"/>
  <c r="F273" i="10" s="1" a="1"/>
  <c r="F273" i="10" s="1"/>
  <c r="E265" i="10"/>
  <c r="F265" i="10" s="1" a="1"/>
  <c r="F265" i="10" s="1"/>
  <c r="E260" i="10"/>
  <c r="F260" i="10" s="1" a="1"/>
  <c r="F260" i="10" s="1"/>
  <c r="E258" i="10"/>
  <c r="F258" i="10" s="1" a="1"/>
  <c r="F258" i="10" s="1"/>
  <c r="E256" i="10"/>
  <c r="F256" i="10" s="1" a="1"/>
  <c r="F256" i="10" s="1"/>
  <c r="E254" i="10"/>
  <c r="F254" i="10" s="1" a="1"/>
  <c r="F254" i="10" s="1"/>
  <c r="E252" i="10"/>
  <c r="F252" i="10" s="1" a="1"/>
  <c r="F252" i="10" s="1"/>
  <c r="E250" i="10"/>
  <c r="F250" i="10" s="1" a="1"/>
  <c r="F250" i="10" s="1"/>
  <c r="E248" i="10"/>
  <c r="F248" i="10" s="1" a="1"/>
  <c r="F248" i="10" s="1"/>
  <c r="E246" i="10"/>
  <c r="F246" i="10" s="1" a="1"/>
  <c r="F246" i="10" s="1"/>
  <c r="E244" i="10"/>
  <c r="F244" i="10" s="1" a="1"/>
  <c r="F244" i="10" s="1"/>
  <c r="E242" i="10"/>
  <c r="F242" i="10" s="1" a="1"/>
  <c r="F242" i="10" s="1"/>
  <c r="E240" i="10"/>
  <c r="F240" i="10" s="1" a="1"/>
  <c r="F240" i="10" s="1"/>
  <c r="E238" i="10"/>
  <c r="F238" i="10" s="1" a="1"/>
  <c r="F238" i="10" s="1"/>
  <c r="E236" i="10"/>
  <c r="F236" i="10" s="1" a="1"/>
  <c r="F236" i="10" s="1"/>
  <c r="E234" i="10"/>
  <c r="F234" i="10" s="1" a="1"/>
  <c r="F234" i="10" s="1"/>
  <c r="E232" i="10"/>
  <c r="F232" i="10" s="1" a="1"/>
  <c r="F232" i="10" s="1"/>
  <c r="E230" i="10"/>
  <c r="F230" i="10" s="1" a="1"/>
  <c r="F230" i="10" s="1"/>
  <c r="E228" i="10"/>
  <c r="F228" i="10" s="1" a="1"/>
  <c r="F228" i="10" s="1"/>
  <c r="E226" i="10"/>
  <c r="F226" i="10" s="1" a="1"/>
  <c r="F226" i="10" s="1"/>
  <c r="E224" i="10"/>
  <c r="F224" i="10" s="1" a="1"/>
  <c r="F224" i="10" s="1"/>
  <c r="E222" i="10"/>
  <c r="F222" i="10" s="1" a="1"/>
  <c r="F222" i="10" s="1"/>
  <c r="E220" i="10"/>
  <c r="F220" i="10" s="1" a="1"/>
  <c r="F220" i="10" s="1"/>
  <c r="E218" i="10"/>
  <c r="F218" i="10" s="1" a="1"/>
  <c r="F218" i="10" s="1"/>
  <c r="E216" i="10"/>
  <c r="F216" i="10" s="1" a="1"/>
  <c r="F216" i="10" s="1"/>
  <c r="E214" i="10"/>
  <c r="F214" i="10" s="1" a="1"/>
  <c r="F214" i="10" s="1"/>
  <c r="E212" i="10"/>
  <c r="F212" i="10" s="1" a="1"/>
  <c r="F212" i="10" s="1"/>
  <c r="E210" i="10"/>
  <c r="F210" i="10" s="1" a="1"/>
  <c r="F210" i="10" s="1"/>
  <c r="E208" i="10"/>
  <c r="F208" i="10" s="1" a="1"/>
  <c r="F208" i="10" s="1"/>
  <c r="E206" i="10"/>
  <c r="F206" i="10" s="1" a="1"/>
  <c r="F206" i="10" s="1"/>
  <c r="E204" i="10"/>
  <c r="F204" i="10" s="1" a="1"/>
  <c r="F204" i="10" s="1"/>
  <c r="E202" i="10"/>
  <c r="F202" i="10" s="1" a="1"/>
  <c r="F202" i="10" s="1"/>
  <c r="E197" i="10"/>
  <c r="F197" i="10" s="1" a="1"/>
  <c r="F197" i="10" s="1"/>
  <c r="E189" i="10"/>
  <c r="F189" i="10" s="1" a="1"/>
  <c r="F189" i="10" s="1"/>
  <c r="E266" i="10"/>
  <c r="F266" i="10" s="1" a="1"/>
  <c r="F266" i="10" s="1"/>
  <c r="D271" i="10"/>
  <c r="E268" i="10"/>
  <c r="F268" i="10" s="1" a="1"/>
  <c r="F268" i="10" s="1"/>
  <c r="D263" i="10"/>
  <c r="D199" i="10"/>
  <c r="E194" i="10"/>
  <c r="F194" i="10" s="1" a="1"/>
  <c r="F194" i="10" s="1"/>
  <c r="D191" i="10"/>
  <c r="E186" i="10"/>
  <c r="F186" i="10" s="1" a="1"/>
  <c r="F186" i="10" s="1"/>
  <c r="D183" i="10"/>
  <c r="E181" i="10"/>
  <c r="F181" i="10" s="1" a="1"/>
  <c r="F181" i="10" s="1"/>
  <c r="E179" i="10"/>
  <c r="F179" i="10" s="1" a="1"/>
  <c r="F179" i="10" s="1"/>
  <c r="E177" i="10"/>
  <c r="F177" i="10" s="1" a="1"/>
  <c r="F177" i="10" s="1"/>
  <c r="E175" i="10"/>
  <c r="F175" i="10" s="1" a="1"/>
  <c r="F175" i="10" s="1"/>
  <c r="E173" i="10"/>
  <c r="F173" i="10" s="1" a="1"/>
  <c r="F173" i="10" s="1"/>
  <c r="E171" i="10"/>
  <c r="F171" i="10" s="1" a="1"/>
  <c r="F171" i="10" s="1"/>
  <c r="E169" i="10"/>
  <c r="F169" i="10" s="1" a="1"/>
  <c r="F169" i="10" s="1"/>
  <c r="E167" i="10"/>
  <c r="F167" i="10" s="1" a="1"/>
  <c r="F167" i="10" s="1"/>
  <c r="E165" i="10"/>
  <c r="F165" i="10" s="1" a="1"/>
  <c r="F165" i="10" s="1"/>
  <c r="E163" i="10"/>
  <c r="F163" i="10" s="1" a="1"/>
  <c r="F163" i="10" s="1"/>
  <c r="E161" i="10"/>
  <c r="F161" i="10" s="1" a="1"/>
  <c r="F161" i="10" s="1"/>
  <c r="E159" i="10"/>
  <c r="F159" i="10" s="1" a="1"/>
  <c r="F159" i="10" s="1"/>
  <c r="E157" i="10"/>
  <c r="F157" i="10" s="1" a="1"/>
  <c r="F157" i="10" s="1"/>
  <c r="D78" i="10"/>
  <c r="E78" i="10"/>
  <c r="F78" i="10" s="1" a="1"/>
  <c r="F78" i="10" s="1"/>
  <c r="D70" i="10"/>
  <c r="E70" i="10"/>
  <c r="F70" i="10" s="1" a="1"/>
  <c r="F70" i="10" s="1"/>
  <c r="D62" i="10"/>
  <c r="E62" i="10"/>
  <c r="F62" i="10" s="1" a="1"/>
  <c r="F62" i="10" s="1"/>
  <c r="D84" i="10"/>
  <c r="E84" i="10"/>
  <c r="F84" i="10" s="1" a="1"/>
  <c r="F84" i="10" s="1"/>
  <c r="D30" i="10"/>
  <c r="E30" i="10"/>
  <c r="F30" i="10" s="1" a="1"/>
  <c r="F30" i="10" s="1"/>
  <c r="D38" i="10"/>
  <c r="E38" i="10"/>
  <c r="F38" i="10" s="1" a="1"/>
  <c r="F38" i="10" s="1"/>
  <c r="E142" i="10"/>
  <c r="F142" i="10" s="1" a="1"/>
  <c r="F142" i="10" s="1"/>
  <c r="E141" i="10"/>
  <c r="F141" i="10" s="1" a="1"/>
  <c r="F141" i="10" s="1"/>
  <c r="E140" i="10"/>
  <c r="F140" i="10" s="1" a="1"/>
  <c r="F140" i="10" s="1"/>
  <c r="E139" i="10"/>
  <c r="F139" i="10" s="1" a="1"/>
  <c r="F139" i="10" s="1"/>
  <c r="E138" i="10"/>
  <c r="F138" i="10" s="1" a="1"/>
  <c r="F138" i="10" s="1"/>
  <c r="E137" i="10"/>
  <c r="F137" i="10" s="1" a="1"/>
  <c r="F137" i="10" s="1"/>
  <c r="E136" i="10"/>
  <c r="F136" i="10" s="1" a="1"/>
  <c r="F136" i="10" s="1"/>
  <c r="E135" i="10"/>
  <c r="F135" i="10" s="1" a="1"/>
  <c r="F135" i="10" s="1"/>
  <c r="E134" i="10"/>
  <c r="F134" i="10" s="1" a="1"/>
  <c r="F134" i="10" s="1"/>
  <c r="E133" i="10"/>
  <c r="F133" i="10" s="1" a="1"/>
  <c r="F133" i="10" s="1"/>
  <c r="E132" i="10"/>
  <c r="F132" i="10" s="1" a="1"/>
  <c r="F132" i="10" s="1"/>
  <c r="E131" i="10"/>
  <c r="F131" i="10" s="1" a="1"/>
  <c r="F131" i="10" s="1"/>
  <c r="E130" i="10"/>
  <c r="F130" i="10" s="1" a="1"/>
  <c r="F130" i="10" s="1"/>
  <c r="E129" i="10"/>
  <c r="F129" i="10" s="1" a="1"/>
  <c r="F129" i="10" s="1"/>
  <c r="D46" i="10"/>
  <c r="E46" i="10"/>
  <c r="F46" i="10" s="1" a="1"/>
  <c r="F46" i="10" s="1"/>
  <c r="D54" i="10"/>
  <c r="E54" i="10"/>
  <c r="F54" i="10" s="1" a="1"/>
  <c r="F54" i="10" s="1"/>
  <c r="E76" i="10"/>
  <c r="F76" i="10" s="1" a="1"/>
  <c r="F76" i="10" s="1"/>
  <c r="E68" i="10"/>
  <c r="F68" i="10" s="1" a="1"/>
  <c r="F68" i="10" s="1"/>
  <c r="E60" i="10"/>
  <c r="F60" i="10" s="1" a="1"/>
  <c r="F60" i="10" s="1"/>
  <c r="E52" i="10"/>
  <c r="F52" i="10" s="1" a="1"/>
  <c r="F52" i="10" s="1"/>
  <c r="E44" i="10"/>
  <c r="F44" i="10" s="1" a="1"/>
  <c r="F44" i="10" s="1"/>
  <c r="E36" i="10"/>
  <c r="F36" i="10" s="1" a="1"/>
  <c r="F36" i="10" s="1"/>
  <c r="E28" i="10"/>
  <c r="F28" i="10" s="1" a="1"/>
  <c r="F28" i="10" s="1"/>
  <c r="D26" i="10"/>
  <c r="E26" i="10"/>
  <c r="F26" i="10" s="1" a="1"/>
  <c r="F26" i="10" s="1"/>
  <c r="D24" i="10"/>
  <c r="E24" i="10"/>
  <c r="F24" i="10" s="1" a="1"/>
  <c r="F24" i="10" s="1"/>
  <c r="D22" i="10"/>
  <c r="E22" i="10"/>
  <c r="F22" i="10" s="1" a="1"/>
  <c r="F22" i="10" s="1"/>
  <c r="D20" i="10"/>
  <c r="E20" i="10"/>
  <c r="F20" i="10" s="1" a="1"/>
  <c r="F20" i="10" s="1"/>
  <c r="D18" i="10"/>
  <c r="E18" i="10"/>
  <c r="F18" i="10" s="1" a="1"/>
  <c r="F18" i="10" s="1"/>
  <c r="D16" i="10"/>
  <c r="E16" i="10"/>
  <c r="F16" i="10" s="1" a="1"/>
  <c r="F16" i="10" s="1"/>
  <c r="D14" i="10"/>
  <c r="E14" i="10"/>
  <c r="F14" i="10" s="1" a="1"/>
  <c r="F14" i="10" s="1"/>
  <c r="D12" i="10"/>
  <c r="E12" i="10"/>
  <c r="F12" i="10" s="1" a="1"/>
  <c r="F12" i="10" s="1"/>
  <c r="D10" i="10"/>
  <c r="E10" i="10"/>
  <c r="F10" i="10" s="1" a="1"/>
  <c r="F10" i="10" s="1"/>
  <c r="D8" i="10"/>
  <c r="E8" i="10"/>
  <c r="F8" i="10" s="1" a="1"/>
  <c r="F8" i="10" s="1"/>
  <c r="D6" i="10"/>
  <c r="E6" i="10"/>
  <c r="F6" i="10" s="1" a="1"/>
  <c r="F6" i="10" s="1"/>
  <c r="D4" i="10"/>
  <c r="E4" i="10"/>
  <c r="F4" i="10" s="1" a="1"/>
  <c r="F4" i="10" s="1"/>
  <c r="D2" i="10"/>
  <c r="E2" i="10"/>
  <c r="F2" i="10" s="1" a="1"/>
  <c r="F2" i="10" s="1"/>
  <c r="E61" i="10"/>
  <c r="F61" i="10" s="1" a="1"/>
  <c r="F61" i="10" s="1"/>
  <c r="E53" i="10"/>
  <c r="F53" i="10" s="1" a="1"/>
  <c r="F53" i="10" s="1"/>
  <c r="E45" i="10"/>
  <c r="F45" i="10" s="1" a="1"/>
  <c r="F45" i="10" s="1"/>
  <c r="E37" i="10"/>
  <c r="F37" i="10" s="1" a="1"/>
  <c r="F37" i="10" s="1"/>
  <c r="E29" i="10"/>
  <c r="F29" i="10" s="1" a="1"/>
  <c r="F29" i="10" s="1"/>
  <c r="E80" i="10"/>
  <c r="F80" i="10" s="1" a="1"/>
  <c r="F80" i="10" s="1"/>
  <c r="E72" i="10"/>
  <c r="F72" i="10" s="1" a="1"/>
  <c r="F72" i="10" s="1"/>
  <c r="E64" i="10"/>
  <c r="F64" i="10" s="1" a="1"/>
  <c r="F64" i="10" s="1"/>
  <c r="E56" i="10"/>
  <c r="F56" i="10" s="1" a="1"/>
  <c r="F56" i="10" s="1"/>
  <c r="E48" i="10"/>
  <c r="F48" i="10" s="1" a="1"/>
  <c r="F48" i="10" s="1"/>
  <c r="E40" i="10"/>
  <c r="F40" i="10" s="1" a="1"/>
  <c r="F40" i="10" s="1"/>
  <c r="E32" i="10"/>
  <c r="F32" i="10" s="1" a="1"/>
  <c r="F32" i="10" s="1"/>
  <c r="D27" i="10"/>
  <c r="E27" i="10"/>
  <c r="F27" i="10" s="1" a="1"/>
  <c r="F27" i="10" s="1"/>
  <c r="D25" i="10"/>
  <c r="E25" i="10"/>
  <c r="F25" i="10" s="1" a="1"/>
  <c r="F25" i="10" s="1"/>
  <c r="D23" i="10"/>
  <c r="E23" i="10"/>
  <c r="F23" i="10" s="1" a="1"/>
  <c r="F23" i="10" s="1"/>
  <c r="D21" i="10"/>
  <c r="E21" i="10"/>
  <c r="F21" i="10" s="1" a="1"/>
  <c r="F21" i="10" s="1"/>
  <c r="D19" i="10"/>
  <c r="E19" i="10"/>
  <c r="F19" i="10" s="1" a="1"/>
  <c r="F19" i="10" s="1"/>
  <c r="D17" i="10"/>
  <c r="E17" i="10"/>
  <c r="F17" i="10" s="1" a="1"/>
  <c r="F17" i="10" s="1"/>
  <c r="D15" i="10"/>
  <c r="E15" i="10"/>
  <c r="F15" i="10" s="1" a="1"/>
  <c r="F15" i="10" s="1"/>
  <c r="D13" i="10"/>
  <c r="E13" i="10"/>
  <c r="F13" i="10" s="1" a="1"/>
  <c r="F13" i="10" s="1"/>
  <c r="D11" i="10"/>
  <c r="E11" i="10"/>
  <c r="F11" i="10" s="1" a="1"/>
  <c r="F11" i="10" s="1"/>
  <c r="D9" i="10"/>
  <c r="E9" i="10"/>
  <c r="F9" i="10" s="1" a="1"/>
  <c r="F9" i="10" s="1"/>
  <c r="D7" i="10"/>
  <c r="E7" i="10"/>
  <c r="F7" i="10" s="1" a="1"/>
  <c r="F7" i="10" s="1"/>
  <c r="D5" i="10"/>
  <c r="E5" i="10"/>
  <c r="F5" i="10" s="1" a="1"/>
  <c r="F5" i="10" s="1"/>
  <c r="D3" i="10"/>
  <c r="E3" i="10"/>
  <c r="F3" i="10" s="1" a="1"/>
  <c r="F3" i="10" s="1"/>
  <c r="E1" i="10"/>
  <c r="F1" i="10" s="1" a="1"/>
  <c r="F1" i="10" s="1"/>
  <c r="G113" i="10" s="1"/>
  <c r="H113" i="10" s="1"/>
  <c r="I113" i="10" s="1"/>
  <c r="G45" i="10" l="1"/>
  <c r="H45" i="10" s="1"/>
  <c r="I45" i="10" s="1"/>
  <c r="G79" i="10"/>
  <c r="H79" i="10" s="1"/>
  <c r="I79" i="10" s="1"/>
  <c r="G99" i="10"/>
  <c r="H99" i="10" s="1"/>
  <c r="I99" i="10" s="1"/>
  <c r="G148" i="10"/>
  <c r="H148" i="10" s="1"/>
  <c r="I148" i="10" s="1"/>
  <c r="G271" i="10"/>
  <c r="H271" i="10" s="1"/>
  <c r="I271" i="10" s="1"/>
  <c r="G53" i="10"/>
  <c r="H53" i="10" s="1"/>
  <c r="I53" i="10" s="1"/>
  <c r="G28" i="10"/>
  <c r="H28" i="10" s="1"/>
  <c r="I28" i="10" s="1"/>
  <c r="G137" i="10"/>
  <c r="H137" i="10"/>
  <c r="I137" i="10" s="1"/>
  <c r="G175" i="10"/>
  <c r="H175" i="10"/>
  <c r="I175" i="10" s="1"/>
  <c r="G120" i="10"/>
  <c r="H120" i="10" s="1"/>
  <c r="I120" i="10" s="1"/>
  <c r="H266" i="10"/>
  <c r="I266" i="10" s="1"/>
  <c r="G266" i="10"/>
  <c r="G168" i="10"/>
  <c r="H168" i="10" s="1"/>
  <c r="I168" i="10" s="1"/>
  <c r="G189" i="10"/>
  <c r="H189" i="10"/>
  <c r="I189" i="10" s="1"/>
  <c r="G214" i="10"/>
  <c r="H214" i="10" s="1"/>
  <c r="I214" i="10" s="1"/>
  <c r="H222" i="10"/>
  <c r="I222" i="10" s="1"/>
  <c r="G222" i="10"/>
  <c r="G230" i="10"/>
  <c r="H230" i="10" s="1"/>
  <c r="I230" i="10" s="1"/>
  <c r="G238" i="10"/>
  <c r="H238" i="10" s="1"/>
  <c r="I238" i="10" s="1"/>
  <c r="G246" i="10"/>
  <c r="H246" i="10" s="1"/>
  <c r="I246" i="10" s="1"/>
  <c r="H254" i="10"/>
  <c r="I254" i="10" s="1"/>
  <c r="G254" i="10"/>
  <c r="G265" i="10"/>
  <c r="H265" i="10" s="1"/>
  <c r="I265" i="10" s="1"/>
  <c r="G153" i="10"/>
  <c r="H153" i="10" s="1"/>
  <c r="I153" i="10" s="1"/>
  <c r="H262" i="10"/>
  <c r="I262" i="10" s="1"/>
  <c r="G262" i="10"/>
  <c r="G275" i="10"/>
  <c r="H275" i="10" s="1"/>
  <c r="I275" i="10" s="1"/>
  <c r="H211" i="10"/>
  <c r="I211" i="10" s="1"/>
  <c r="G211" i="10"/>
  <c r="H227" i="10"/>
  <c r="I227" i="10" s="1"/>
  <c r="G227" i="10"/>
  <c r="H245" i="10"/>
  <c r="I245" i="10" s="1"/>
  <c r="G245" i="10"/>
  <c r="G259" i="10"/>
  <c r="H259" i="10" s="1"/>
  <c r="I259" i="10" s="1"/>
  <c r="G146" i="10"/>
  <c r="H146" i="10" s="1"/>
  <c r="I146" i="10" s="1"/>
  <c r="G198" i="10"/>
  <c r="H198" i="10"/>
  <c r="I198" i="10" s="1"/>
  <c r="G201" i="10"/>
  <c r="H201" i="10" s="1"/>
  <c r="I201" i="10" s="1"/>
  <c r="G217" i="10"/>
  <c r="H217" i="10" s="1"/>
  <c r="I217" i="10" s="1"/>
  <c r="H233" i="10"/>
  <c r="I233" i="10" s="1"/>
  <c r="G233" i="10"/>
  <c r="G247" i="10"/>
  <c r="H247" i="10" s="1"/>
  <c r="I247" i="10" s="1"/>
  <c r="G158" i="10"/>
  <c r="H158" i="10" s="1"/>
  <c r="I158" i="10" s="1"/>
  <c r="G174" i="10"/>
  <c r="H174" i="10" s="1"/>
  <c r="I174" i="10" s="1"/>
  <c r="G191" i="10"/>
  <c r="H191" i="10"/>
  <c r="I191" i="10" s="1"/>
  <c r="G2" i="10"/>
  <c r="H2" i="10" s="1"/>
  <c r="I2" i="10" s="1"/>
  <c r="G33" i="10"/>
  <c r="H33" i="10" s="1"/>
  <c r="I33" i="10" s="1"/>
  <c r="G51" i="10"/>
  <c r="H51" i="10" s="1"/>
  <c r="I51" i="10" s="1"/>
  <c r="G173" i="10"/>
  <c r="H173" i="10"/>
  <c r="I173" i="10" s="1"/>
  <c r="G109" i="10"/>
  <c r="H109" i="10" s="1"/>
  <c r="I109" i="10" s="1"/>
  <c r="G11" i="10"/>
  <c r="H11" i="10"/>
  <c r="I11" i="10" s="1"/>
  <c r="G4" i="10"/>
  <c r="H4" i="10" s="1"/>
  <c r="I4" i="10" s="1"/>
  <c r="H60" i="10"/>
  <c r="I60" i="10" s="1"/>
  <c r="G60" i="10"/>
  <c r="G129" i="10"/>
  <c r="H129" i="10" s="1"/>
  <c r="I129" i="10" s="1"/>
  <c r="G83" i="10"/>
  <c r="H83" i="10" s="1"/>
  <c r="I83" i="10" s="1"/>
  <c r="G86" i="10"/>
  <c r="H86" i="10" s="1"/>
  <c r="I86" i="10" s="1"/>
  <c r="G159" i="10"/>
  <c r="H159" i="10" s="1"/>
  <c r="I159" i="10" s="1"/>
  <c r="G96" i="10"/>
  <c r="H96" i="10" s="1"/>
  <c r="I96" i="10" s="1"/>
  <c r="G206" i="10"/>
  <c r="H206" i="10" s="1"/>
  <c r="I206" i="10" s="1"/>
  <c r="G40" i="10"/>
  <c r="H40" i="10"/>
  <c r="I40" i="10" s="1"/>
  <c r="G46" i="10"/>
  <c r="H46" i="10" s="1"/>
  <c r="I46" i="10" s="1"/>
  <c r="G130" i="10"/>
  <c r="H130" i="10"/>
  <c r="I130" i="10" s="1"/>
  <c r="G138" i="10"/>
  <c r="H138" i="10"/>
  <c r="I138" i="10" s="1"/>
  <c r="G38" i="10"/>
  <c r="H38" i="10"/>
  <c r="I38" i="10" s="1"/>
  <c r="G30" i="10"/>
  <c r="H30" i="10" s="1"/>
  <c r="I30" i="10" s="1"/>
  <c r="G81" i="10"/>
  <c r="H81" i="10" s="1"/>
  <c r="I81" i="10" s="1"/>
  <c r="G62" i="10"/>
  <c r="H62" i="10" s="1"/>
  <c r="I62" i="10" s="1"/>
  <c r="G78" i="10"/>
  <c r="H78" i="10" s="1"/>
  <c r="I78" i="10" s="1"/>
  <c r="G90" i="10"/>
  <c r="H90" i="10" s="1"/>
  <c r="I90" i="10" s="1"/>
  <c r="G118" i="10"/>
  <c r="H118" i="10" s="1"/>
  <c r="I118" i="10" s="1"/>
  <c r="G87" i="10"/>
  <c r="H87" i="10" s="1"/>
  <c r="I87" i="10" s="1"/>
  <c r="G103" i="10"/>
  <c r="H103" i="10" s="1"/>
  <c r="I103" i="10" s="1"/>
  <c r="G119" i="10"/>
  <c r="H119" i="10" s="1"/>
  <c r="I119" i="10" s="1"/>
  <c r="G161" i="10"/>
  <c r="H161" i="10"/>
  <c r="I161" i="10" s="1"/>
  <c r="G177" i="10"/>
  <c r="H177" i="10"/>
  <c r="I177" i="10" s="1"/>
  <c r="G100" i="10"/>
  <c r="H100" i="10" s="1"/>
  <c r="I100" i="10" s="1"/>
  <c r="G152" i="10"/>
  <c r="H152" i="10" s="1"/>
  <c r="I152" i="10" s="1"/>
  <c r="G97" i="10"/>
  <c r="H97" i="10" s="1"/>
  <c r="I97" i="10" s="1"/>
  <c r="G9" i="10"/>
  <c r="H9" i="10" s="1"/>
  <c r="I9" i="10" s="1"/>
  <c r="G1" i="10"/>
  <c r="H1" i="10" s="1"/>
  <c r="I1" i="10" s="1"/>
  <c r="G69" i="10"/>
  <c r="H69" i="10" s="1"/>
  <c r="I69" i="10" s="1"/>
  <c r="G77" i="10"/>
  <c r="H77" i="10" s="1"/>
  <c r="I77" i="10" s="1"/>
  <c r="G34" i="10"/>
  <c r="H34" i="10" s="1"/>
  <c r="I34" i="10" s="1"/>
  <c r="G42" i="10"/>
  <c r="H42" i="10" s="1"/>
  <c r="I42" i="10" s="1"/>
  <c r="G50" i="10"/>
  <c r="H50" i="10" s="1"/>
  <c r="I50" i="10" s="1"/>
  <c r="G58" i="10"/>
  <c r="H58" i="10" s="1"/>
  <c r="I58" i="10" s="1"/>
  <c r="G66" i="10"/>
  <c r="H66" i="10" s="1"/>
  <c r="I66" i="10" s="1"/>
  <c r="G74" i="10"/>
  <c r="H74" i="10" s="1"/>
  <c r="I74" i="10" s="1"/>
  <c r="G82" i="10"/>
  <c r="H82" i="10" s="1"/>
  <c r="I82" i="10" s="1"/>
  <c r="G85" i="10"/>
  <c r="H85" i="10" s="1"/>
  <c r="I85" i="10" s="1"/>
  <c r="G75" i="10"/>
  <c r="H75" i="10" s="1"/>
  <c r="I75" i="10" s="1"/>
  <c r="G73" i="10"/>
  <c r="H73" i="10" s="1"/>
  <c r="I73" i="10" s="1"/>
  <c r="G57" i="10"/>
  <c r="H57" i="10" s="1"/>
  <c r="I57" i="10" s="1"/>
  <c r="G92" i="10"/>
  <c r="H92" i="10" s="1"/>
  <c r="I92" i="10" s="1"/>
  <c r="G125" i="10"/>
  <c r="H125" i="10" s="1"/>
  <c r="I125" i="10" s="1"/>
  <c r="G80" i="10"/>
  <c r="H80" i="10"/>
  <c r="I80" i="10" s="1"/>
  <c r="G13" i="10"/>
  <c r="H13" i="10" s="1"/>
  <c r="I13" i="10" s="1"/>
  <c r="G14" i="10"/>
  <c r="H14" i="10"/>
  <c r="I14" i="10" s="1"/>
  <c r="G131" i="10"/>
  <c r="H131" i="10"/>
  <c r="I131" i="10" s="1"/>
  <c r="G104" i="10"/>
  <c r="H104" i="10" s="1"/>
  <c r="I104" i="10" s="1"/>
  <c r="G197" i="10"/>
  <c r="H197" i="10"/>
  <c r="I197" i="10" s="1"/>
  <c r="H224" i="10"/>
  <c r="I224" i="10" s="1"/>
  <c r="G224" i="10"/>
  <c r="H240" i="10"/>
  <c r="I240" i="10" s="1"/>
  <c r="G240" i="10"/>
  <c r="H256" i="10"/>
  <c r="I256" i="10" s="1"/>
  <c r="G256" i="10"/>
  <c r="G184" i="10"/>
  <c r="H184" i="10"/>
  <c r="I184" i="10" s="1"/>
  <c r="G187" i="10"/>
  <c r="H187" i="10" s="1"/>
  <c r="I187" i="10" s="1"/>
  <c r="G193" i="10"/>
  <c r="H193" i="10" s="1"/>
  <c r="I193" i="10" s="1"/>
  <c r="H231" i="10"/>
  <c r="I231" i="10" s="1"/>
  <c r="G231" i="10"/>
  <c r="G249" i="10"/>
  <c r="H249" i="10" s="1"/>
  <c r="I249" i="10" s="1"/>
  <c r="H269" i="10"/>
  <c r="I269" i="10" s="1"/>
  <c r="G269" i="10"/>
  <c r="G150" i="10"/>
  <c r="H150" i="10" s="1"/>
  <c r="I150" i="10" s="1"/>
  <c r="G264" i="10"/>
  <c r="H264" i="10" s="1"/>
  <c r="I264" i="10" s="1"/>
  <c r="G205" i="10"/>
  <c r="H205" i="10" s="1"/>
  <c r="I205" i="10" s="1"/>
  <c r="H221" i="10"/>
  <c r="I221" i="10" s="1"/>
  <c r="G221" i="10"/>
  <c r="G237" i="10"/>
  <c r="H237" i="10" s="1"/>
  <c r="I237" i="10" s="1"/>
  <c r="G253" i="10"/>
  <c r="H253" i="10" s="1"/>
  <c r="I253" i="10" s="1"/>
  <c r="G162" i="10"/>
  <c r="H162" i="10" s="1"/>
  <c r="I162" i="10" s="1"/>
  <c r="G178" i="10"/>
  <c r="H178" i="10" s="1"/>
  <c r="I178" i="10" s="1"/>
  <c r="G151" i="10"/>
  <c r="H151" i="10" s="1"/>
  <c r="I151" i="10" s="1"/>
  <c r="G72" i="10"/>
  <c r="H72" i="10" s="1"/>
  <c r="I72" i="10" s="1"/>
  <c r="G54" i="10"/>
  <c r="H54" i="10" s="1"/>
  <c r="I54" i="10" s="1"/>
  <c r="G114" i="10"/>
  <c r="H114" i="10" s="1"/>
  <c r="I114" i="10" s="1"/>
  <c r="G194" i="10"/>
  <c r="H194" i="10" s="1"/>
  <c r="I194" i="10" s="1"/>
  <c r="G93" i="10"/>
  <c r="H93" i="10" s="1"/>
  <c r="I93" i="10" s="1"/>
  <c r="G3" i="10"/>
  <c r="H3" i="10" s="1"/>
  <c r="I3" i="10" s="1"/>
  <c r="G32" i="10"/>
  <c r="H32" i="10" s="1"/>
  <c r="I32" i="10" s="1"/>
  <c r="G5" i="10"/>
  <c r="H5" i="10" s="1"/>
  <c r="I5" i="10" s="1"/>
  <c r="G29" i="10"/>
  <c r="H29" i="10"/>
  <c r="I29" i="10" s="1"/>
  <c r="G22" i="10"/>
  <c r="H22" i="10" s="1"/>
  <c r="I22" i="10" s="1"/>
  <c r="G139" i="10"/>
  <c r="H139" i="10" s="1"/>
  <c r="I139" i="10" s="1"/>
  <c r="G94" i="10"/>
  <c r="H94" i="10" s="1"/>
  <c r="I94" i="10" s="1"/>
  <c r="G179" i="10"/>
  <c r="H179" i="10" s="1"/>
  <c r="I179" i="10" s="1"/>
  <c r="G124" i="10"/>
  <c r="H124" i="10" s="1"/>
  <c r="I124" i="10" s="1"/>
  <c r="G156" i="10"/>
  <c r="H156" i="10" s="1"/>
  <c r="I156" i="10" s="1"/>
  <c r="G172" i="10"/>
  <c r="H172" i="10" s="1"/>
  <c r="I172" i="10" s="1"/>
  <c r="H208" i="10"/>
  <c r="I208" i="10" s="1"/>
  <c r="G208" i="10"/>
  <c r="H216" i="10"/>
  <c r="I216" i="10" s="1"/>
  <c r="G216" i="10"/>
  <c r="G232" i="10"/>
  <c r="H232" i="10" s="1"/>
  <c r="I232" i="10" s="1"/>
  <c r="H248" i="10"/>
  <c r="I248" i="10" s="1"/>
  <c r="G248" i="10"/>
  <c r="H273" i="10"/>
  <c r="I273" i="10" s="1"/>
  <c r="G273" i="10"/>
  <c r="H270" i="10"/>
  <c r="I270" i="10" s="1"/>
  <c r="G270" i="10"/>
  <c r="G215" i="10"/>
  <c r="H215" i="10" s="1"/>
  <c r="I215" i="10" s="1"/>
  <c r="G56" i="10"/>
  <c r="H56" i="10" s="1"/>
  <c r="I56" i="10" s="1"/>
  <c r="H76" i="10"/>
  <c r="I76" i="10" s="1"/>
  <c r="G76" i="10"/>
  <c r="G132" i="10"/>
  <c r="H132" i="10" s="1"/>
  <c r="I132" i="10" s="1"/>
  <c r="G140" i="10"/>
  <c r="H140" i="10"/>
  <c r="I140" i="10" s="1"/>
  <c r="G31" i="10"/>
  <c r="H31" i="10" s="1"/>
  <c r="I31" i="10" s="1"/>
  <c r="G98" i="10"/>
  <c r="H98" i="10" s="1"/>
  <c r="I98" i="10" s="1"/>
  <c r="G122" i="10"/>
  <c r="H122" i="10" s="1"/>
  <c r="I122" i="10" s="1"/>
  <c r="G91" i="10"/>
  <c r="H91" i="10" s="1"/>
  <c r="I91" i="10" s="1"/>
  <c r="G107" i="10"/>
  <c r="H107" i="10" s="1"/>
  <c r="I107" i="10" s="1"/>
  <c r="G123" i="10"/>
  <c r="H123" i="10" s="1"/>
  <c r="I123" i="10" s="1"/>
  <c r="G165" i="10"/>
  <c r="H165" i="10"/>
  <c r="I165" i="10" s="1"/>
  <c r="G181" i="10"/>
  <c r="H181" i="10" s="1"/>
  <c r="I181" i="10" s="1"/>
  <c r="G108" i="10"/>
  <c r="H108" i="10" s="1"/>
  <c r="I108" i="10" s="1"/>
  <c r="G268" i="10"/>
  <c r="H268" i="10" s="1"/>
  <c r="I268" i="10" s="1"/>
  <c r="G101" i="10"/>
  <c r="H101" i="10" s="1"/>
  <c r="I101" i="10" s="1"/>
  <c r="G117" i="10"/>
  <c r="H117" i="10" s="1"/>
  <c r="I117" i="10" s="1"/>
  <c r="G199" i="10"/>
  <c r="H199" i="10" s="1"/>
  <c r="I199" i="10" s="1"/>
  <c r="G25" i="10"/>
  <c r="H25" i="10"/>
  <c r="I25" i="10" s="1"/>
  <c r="G84" i="10"/>
  <c r="H84" i="10" s="1"/>
  <c r="I84" i="10" s="1"/>
  <c r="G35" i="10"/>
  <c r="H35" i="10" s="1"/>
  <c r="I35" i="10" s="1"/>
  <c r="G115" i="10"/>
  <c r="H115" i="10" s="1"/>
  <c r="I115" i="10" s="1"/>
  <c r="G27" i="10"/>
  <c r="H27" i="10" s="1"/>
  <c r="I27" i="10" s="1"/>
  <c r="G20" i="10"/>
  <c r="H20" i="10"/>
  <c r="I20" i="10" s="1"/>
  <c r="G48" i="10"/>
  <c r="H48" i="10"/>
  <c r="I48" i="10" s="1"/>
  <c r="G6" i="10"/>
  <c r="H6" i="10" s="1"/>
  <c r="I6" i="10" s="1"/>
  <c r="H36" i="10"/>
  <c r="I36" i="10" s="1"/>
  <c r="G36" i="10"/>
  <c r="G7" i="10"/>
  <c r="H7" i="10"/>
  <c r="I7" i="10" s="1"/>
  <c r="G15" i="10"/>
  <c r="H15" i="10"/>
  <c r="I15" i="10" s="1"/>
  <c r="G37" i="10"/>
  <c r="H37" i="10" s="1"/>
  <c r="I37" i="10" s="1"/>
  <c r="G8" i="10"/>
  <c r="H8" i="10" s="1"/>
  <c r="I8" i="10" s="1"/>
  <c r="G24" i="10"/>
  <c r="H24" i="10"/>
  <c r="I24" i="10" s="1"/>
  <c r="G133" i="10"/>
  <c r="H133" i="10"/>
  <c r="I133" i="10" s="1"/>
  <c r="G43" i="10"/>
  <c r="H43" i="10" s="1"/>
  <c r="I43" i="10" s="1"/>
  <c r="G102" i="10"/>
  <c r="H102" i="10" s="1"/>
  <c r="I102" i="10" s="1"/>
  <c r="G112" i="10"/>
  <c r="H112" i="10" s="1"/>
  <c r="I112" i="10" s="1"/>
  <c r="G160" i="10"/>
  <c r="H160" i="10" s="1"/>
  <c r="I160" i="10" s="1"/>
  <c r="G176" i="10"/>
  <c r="H176" i="10" s="1"/>
  <c r="I176" i="10" s="1"/>
  <c r="H210" i="10"/>
  <c r="I210" i="10" s="1"/>
  <c r="G210" i="10"/>
  <c r="H218" i="10"/>
  <c r="I218" i="10" s="1"/>
  <c r="G218" i="10"/>
  <c r="G226" i="10"/>
  <c r="H226" i="10" s="1"/>
  <c r="I226" i="10" s="1"/>
  <c r="H234" i="10"/>
  <c r="I234" i="10" s="1"/>
  <c r="G234" i="10"/>
  <c r="H242" i="10"/>
  <c r="I242" i="10" s="1"/>
  <c r="G242" i="10"/>
  <c r="G250" i="10"/>
  <c r="H250" i="10" s="1"/>
  <c r="I250" i="10" s="1"/>
  <c r="G258" i="10"/>
  <c r="H258" i="10" s="1"/>
  <c r="I258" i="10" s="1"/>
  <c r="G145" i="10"/>
  <c r="H145" i="10" s="1"/>
  <c r="I145" i="10" s="1"/>
  <c r="G192" i="10"/>
  <c r="H192" i="10"/>
  <c r="I192" i="10" s="1"/>
  <c r="G182" i="10"/>
  <c r="H182" i="10" s="1"/>
  <c r="I182" i="10" s="1"/>
  <c r="G195" i="10"/>
  <c r="H195" i="10" s="1"/>
  <c r="I195" i="10" s="1"/>
  <c r="G203" i="10"/>
  <c r="H203" i="10" s="1"/>
  <c r="I203" i="10" s="1"/>
  <c r="H219" i="10"/>
  <c r="I219" i="10" s="1"/>
  <c r="G219" i="10"/>
  <c r="G235" i="10"/>
  <c r="H235" i="10" s="1"/>
  <c r="I235" i="10" s="1"/>
  <c r="G251" i="10"/>
  <c r="H251" i="10" s="1"/>
  <c r="I251" i="10" s="1"/>
  <c r="G143" i="10"/>
  <c r="H143" i="10" s="1"/>
  <c r="I143" i="10" s="1"/>
  <c r="G154" i="10"/>
  <c r="H154" i="10" s="1"/>
  <c r="I154" i="10" s="1"/>
  <c r="H272" i="10"/>
  <c r="I272" i="10" s="1"/>
  <c r="G272" i="10"/>
  <c r="G209" i="10"/>
  <c r="H209" i="10" s="1"/>
  <c r="I209" i="10" s="1"/>
  <c r="G225" i="10"/>
  <c r="H225" i="10" s="1"/>
  <c r="I225" i="10" s="1"/>
  <c r="G241" i="10"/>
  <c r="H241" i="10" s="1"/>
  <c r="I241" i="10" s="1"/>
  <c r="G257" i="10"/>
  <c r="H257" i="10" s="1"/>
  <c r="I257" i="10" s="1"/>
  <c r="G166" i="10"/>
  <c r="H166" i="10" s="1"/>
  <c r="I166" i="10" s="1"/>
  <c r="G155" i="10"/>
  <c r="H155" i="10" s="1"/>
  <c r="I155" i="10" s="1"/>
  <c r="G196" i="10"/>
  <c r="H196" i="10"/>
  <c r="I196" i="10" s="1"/>
  <c r="G17" i="10"/>
  <c r="H17" i="10"/>
  <c r="I17" i="10" s="1"/>
  <c r="G18" i="10"/>
  <c r="H18" i="10" s="1"/>
  <c r="I18" i="10" s="1"/>
  <c r="G136" i="10"/>
  <c r="H136" i="10"/>
  <c r="I136" i="10" s="1"/>
  <c r="G49" i="10"/>
  <c r="H49" i="10" s="1"/>
  <c r="I49" i="10" s="1"/>
  <c r="G157" i="10"/>
  <c r="H157" i="10" s="1"/>
  <c r="I157" i="10" s="1"/>
  <c r="G19" i="10"/>
  <c r="H19" i="10" s="1"/>
  <c r="I19" i="10" s="1"/>
  <c r="G12" i="10"/>
  <c r="H12" i="10"/>
  <c r="I12" i="10" s="1"/>
  <c r="G21" i="10"/>
  <c r="H21" i="10"/>
  <c r="I21" i="10" s="1"/>
  <c r="G61" i="10"/>
  <c r="H61" i="10" s="1"/>
  <c r="I61" i="10" s="1"/>
  <c r="H68" i="10"/>
  <c r="I68" i="10" s="1"/>
  <c r="G68" i="10"/>
  <c r="G163" i="10"/>
  <c r="H163" i="10"/>
  <c r="I163" i="10" s="1"/>
  <c r="G23" i="10"/>
  <c r="H23" i="10"/>
  <c r="I23" i="10" s="1"/>
  <c r="G64" i="10"/>
  <c r="H64" i="10" s="1"/>
  <c r="I64" i="10" s="1"/>
  <c r="G16" i="10"/>
  <c r="H16" i="10" s="1"/>
  <c r="I16" i="10" s="1"/>
  <c r="G44" i="10"/>
  <c r="H44" i="10" s="1"/>
  <c r="I44" i="10" s="1"/>
  <c r="G141" i="10"/>
  <c r="H141" i="10" s="1"/>
  <c r="I141" i="10" s="1"/>
  <c r="G167" i="10"/>
  <c r="H167" i="10" s="1"/>
  <c r="I167" i="10" s="1"/>
  <c r="G186" i="10"/>
  <c r="H186" i="10" s="1"/>
  <c r="I186" i="10" s="1"/>
  <c r="G202" i="10"/>
  <c r="H202" i="10" s="1"/>
  <c r="I202" i="10" s="1"/>
  <c r="G41" i="10"/>
  <c r="H41" i="10" s="1"/>
  <c r="I41" i="10" s="1"/>
  <c r="G63" i="10"/>
  <c r="H63" i="10" s="1"/>
  <c r="I63" i="10" s="1"/>
  <c r="G134" i="10"/>
  <c r="H134" i="10" s="1"/>
  <c r="I134" i="10" s="1"/>
  <c r="G142" i="10"/>
  <c r="H142" i="10" s="1"/>
  <c r="I142" i="10" s="1"/>
  <c r="G55" i="10"/>
  <c r="H55" i="10" s="1"/>
  <c r="I55" i="10" s="1"/>
  <c r="G47" i="10"/>
  <c r="H47" i="10" s="1"/>
  <c r="I47" i="10" s="1"/>
  <c r="G65" i="10"/>
  <c r="H65" i="10" s="1"/>
  <c r="I65" i="10" s="1"/>
  <c r="G70" i="10"/>
  <c r="H70" i="10"/>
  <c r="I70" i="10" s="1"/>
  <c r="G106" i="10"/>
  <c r="H106" i="10" s="1"/>
  <c r="I106" i="10" s="1"/>
  <c r="G126" i="10"/>
  <c r="H126" i="10" s="1"/>
  <c r="I126" i="10" s="1"/>
  <c r="G95" i="10"/>
  <c r="H95" i="10" s="1"/>
  <c r="I95" i="10" s="1"/>
  <c r="G111" i="10"/>
  <c r="H111" i="10" s="1"/>
  <c r="I111" i="10" s="1"/>
  <c r="G127" i="10"/>
  <c r="H127" i="10" s="1"/>
  <c r="I127" i="10" s="1"/>
  <c r="G169" i="10"/>
  <c r="H169" i="10" s="1"/>
  <c r="I169" i="10" s="1"/>
  <c r="G128" i="10"/>
  <c r="H128" i="10" s="1"/>
  <c r="I128" i="10" s="1"/>
  <c r="G144" i="10"/>
  <c r="H144" i="10" s="1"/>
  <c r="I144" i="10" s="1"/>
  <c r="G89" i="10"/>
  <c r="H89" i="10" s="1"/>
  <c r="I89" i="10" s="1"/>
  <c r="G105" i="10"/>
  <c r="H105" i="10" s="1"/>
  <c r="I105" i="10" s="1"/>
  <c r="G121" i="10"/>
  <c r="H121" i="10" s="1"/>
  <c r="I121" i="10" s="1"/>
  <c r="G263" i="10"/>
  <c r="H263" i="10" s="1"/>
  <c r="I263" i="10" s="1"/>
  <c r="G10" i="10"/>
  <c r="H10" i="10"/>
  <c r="I10" i="10" s="1"/>
  <c r="G26" i="10"/>
  <c r="H26" i="10"/>
  <c r="I26" i="10" s="1"/>
  <c r="G52" i="10"/>
  <c r="H52" i="10" s="1"/>
  <c r="I52" i="10" s="1"/>
  <c r="G71" i="10"/>
  <c r="H71" i="10" s="1"/>
  <c r="I71" i="10" s="1"/>
  <c r="G135" i="10"/>
  <c r="H135" i="10" s="1"/>
  <c r="I135" i="10" s="1"/>
  <c r="G67" i="10"/>
  <c r="H67" i="10" s="1"/>
  <c r="I67" i="10" s="1"/>
  <c r="G59" i="10"/>
  <c r="H59" i="10" s="1"/>
  <c r="I59" i="10" s="1"/>
  <c r="G39" i="10"/>
  <c r="H39" i="10" s="1"/>
  <c r="I39" i="10" s="1"/>
  <c r="G110" i="10"/>
  <c r="H110" i="10" s="1"/>
  <c r="I110" i="10" s="1"/>
  <c r="G171" i="10"/>
  <c r="H171" i="10"/>
  <c r="I171" i="10" s="1"/>
  <c r="G88" i="10"/>
  <c r="H88" i="10" s="1"/>
  <c r="I88" i="10" s="1"/>
  <c r="G116" i="10"/>
  <c r="H116" i="10" s="1"/>
  <c r="I116" i="10" s="1"/>
  <c r="G147" i="10"/>
  <c r="H147" i="10" s="1"/>
  <c r="I147" i="10" s="1"/>
  <c r="G164" i="10"/>
  <c r="H164" i="10" s="1"/>
  <c r="I164" i="10" s="1"/>
  <c r="G180" i="10"/>
  <c r="H180" i="10" s="1"/>
  <c r="I180" i="10" s="1"/>
  <c r="G204" i="10"/>
  <c r="H204" i="10" s="1"/>
  <c r="I204" i="10" s="1"/>
  <c r="G212" i="10"/>
  <c r="H212" i="10" s="1"/>
  <c r="I212" i="10" s="1"/>
  <c r="G220" i="10"/>
  <c r="H220" i="10" s="1"/>
  <c r="I220" i="10" s="1"/>
  <c r="G228" i="10"/>
  <c r="H228" i="10" s="1"/>
  <c r="I228" i="10" s="1"/>
  <c r="G236" i="10"/>
  <c r="H236" i="10" s="1"/>
  <c r="I236" i="10" s="1"/>
  <c r="G244" i="10"/>
  <c r="H244" i="10" s="1"/>
  <c r="I244" i="10" s="1"/>
  <c r="G252" i="10"/>
  <c r="H252" i="10" s="1"/>
  <c r="I252" i="10" s="1"/>
  <c r="G260" i="10"/>
  <c r="H260" i="10" s="1"/>
  <c r="I260" i="10" s="1"/>
  <c r="G149" i="10"/>
  <c r="H149" i="10" s="1"/>
  <c r="I149" i="10" s="1"/>
  <c r="G200" i="10"/>
  <c r="H200" i="10" s="1"/>
  <c r="I200" i="10" s="1"/>
  <c r="H267" i="10"/>
  <c r="I267" i="10" s="1"/>
  <c r="G267" i="10"/>
  <c r="H207" i="10"/>
  <c r="I207" i="10" s="1"/>
  <c r="G207" i="10"/>
  <c r="H223" i="10"/>
  <c r="I223" i="10" s="1"/>
  <c r="G223" i="10"/>
  <c r="G239" i="10"/>
  <c r="H239" i="10" s="1"/>
  <c r="I239" i="10" s="1"/>
  <c r="H255" i="10"/>
  <c r="I255" i="10" s="1"/>
  <c r="G255" i="10"/>
  <c r="G188" i="10"/>
  <c r="H188" i="10" s="1"/>
  <c r="I188" i="10" s="1"/>
  <c r="G190" i="10"/>
  <c r="H190" i="10" s="1"/>
  <c r="I190" i="10" s="1"/>
  <c r="G185" i="10"/>
  <c r="H185" i="10" s="1"/>
  <c r="I185" i="10" s="1"/>
  <c r="G213" i="10"/>
  <c r="H213" i="10" s="1"/>
  <c r="I213" i="10" s="1"/>
  <c r="H229" i="10"/>
  <c r="I229" i="10" s="1"/>
  <c r="G229" i="10"/>
  <c r="H243" i="10"/>
  <c r="I243" i="10" s="1"/>
  <c r="G243" i="10"/>
  <c r="G261" i="10"/>
  <c r="H261" i="10" s="1"/>
  <c r="I261" i="10" s="1"/>
  <c r="G170" i="10"/>
  <c r="H170" i="10" s="1"/>
  <c r="I170" i="10" s="1"/>
  <c r="G183" i="10"/>
  <c r="H183" i="10" s="1"/>
  <c r="I183" i="10" s="1"/>
  <c r="G274" i="10"/>
  <c r="H274" i="10" s="1"/>
  <c r="I274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<sst xmlns="http://schemas.openxmlformats.org/spreadsheetml/2006/main" count="2760" uniqueCount="1786">
  <si>
    <t>LOCKEXC.PLAYEROPPONENTPROJ.</t>
  </si>
  <si>
    <t>ROST%SPREADO/UPRED</t>
  </si>
  <si>
    <t>SCOREPOS RANKPROJ</t>
  </si>
  <si>
    <t>PTS.CUST</t>
  </si>
  <si>
    <t>PROJ.PROJ</t>
  </si>
  <si>
    <r>
      <t>CEIL.SALARYVALUEMIN. EXPMAX. EXP</t>
    </r>
    <r>
      <rPr>
        <sz val="11"/>
        <color rgb="FF0377B1"/>
        <rFont val="Calibri"/>
        <family val="2"/>
        <scheme val="minor"/>
      </rPr>
      <t>Lamar Jackson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QB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</si>
  <si>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26QB 124.2</t>
    </r>
  </si>
  <si>
    <t>29.8$8,5002.85x</t>
  </si>
  <si>
    <r>
      <t>Josh Allen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QB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</si>
  <si>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27.5QB 223.6</t>
    </r>
  </si>
  <si>
    <t>30.9$8,7002.72x</t>
  </si>
  <si>
    <r>
      <t>Jonathan Taylor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RB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</si>
  <si>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27RB 123.2</t>
    </r>
  </si>
  <si>
    <t>31.4$10,2002.28x</t>
  </si>
  <si>
    <r>
      <t>Justin Herbert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QB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</si>
  <si>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28QB 323.1</t>
    </r>
  </si>
  <si>
    <t>31.5$8,4002.74x</t>
  </si>
  <si>
    <r>
      <t>Jalen Hurts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QB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</si>
  <si>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26.5QB 422.6</t>
    </r>
  </si>
  <si>
    <t>26.9$8,0002.82x</t>
  </si>
  <si>
    <r>
      <t>Patrick Mahomes II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QB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</si>
  <si>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29QB 522.2</t>
    </r>
  </si>
  <si>
    <t>27.9$8,7002.55x</t>
  </si>
  <si>
    <r>
      <t>Kyler Murray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QB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</si>
  <si>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25QB 622.1</t>
    </r>
  </si>
  <si>
    <t>28.1$8,2002.69x</t>
  </si>
  <si>
    <r>
      <t>Russell Wilson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QB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</si>
  <si>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25QB 720.8</t>
    </r>
  </si>
  <si>
    <t>25.7$7,5002.78x</t>
  </si>
  <si>
    <r>
      <t>Christian McCaffrey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RB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</si>
  <si>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22RB 220.8</t>
    </r>
  </si>
  <si>
    <t>28.0$9,5002.19x</t>
  </si>
  <si>
    <r>
      <t>Tom Brady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QB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</si>
  <si>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26QB 819.9</t>
    </r>
  </si>
  <si>
    <t>25.1$7,8002.56x</t>
  </si>
  <si>
    <r>
      <t>Joe Burrow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QB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</si>
  <si>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25.5QB 919.9</t>
    </r>
  </si>
  <si>
    <t>26.5$7,7002.58x</t>
  </si>
  <si>
    <r>
      <t>Trey Lance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QB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</si>
  <si>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24QB 1019.7</t>
    </r>
  </si>
  <si>
    <t>25.2$7,5002.63x</t>
  </si>
  <si>
    <r>
      <t>Aaron Rodgers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QB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</si>
  <si>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25QB 1119.6</t>
    </r>
  </si>
  <si>
    <t>25.7$7,8002.52x</t>
  </si>
  <si>
    <r>
      <t>Dak Prescott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QB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</si>
  <si>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24.5QB 1219.1</t>
    </r>
  </si>
  <si>
    <t>25.7$7,6002.51x</t>
  </si>
  <si>
    <r>
      <t>Derek Carr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QB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</si>
  <si>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24.5QB 1318.7</t>
    </r>
  </si>
  <si>
    <t>22.8$7,4002.53x</t>
  </si>
  <si>
    <r>
      <t>Matthew Stafford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QB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</si>
  <si>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25QB 1418.5</t>
    </r>
  </si>
  <si>
    <t>22.1$7,4002.49x</t>
  </si>
  <si>
    <r>
      <t>Kirk Cousins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QB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</si>
  <si>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23.5QB 1518.2</t>
    </r>
  </si>
  <si>
    <t>23.3$7,3002.49x</t>
  </si>
  <si>
    <r>
      <t>Jameis Winston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QB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</si>
  <si>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24QB 1618.2</t>
    </r>
  </si>
  <si>
    <t>24.4$6,7002.72x</t>
  </si>
  <si>
    <r>
      <t>Matt Ryan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QB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</si>
  <si>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27QB 1718.0</t>
    </r>
  </si>
  <si>
    <t>22.9$6,9002.62x</t>
  </si>
  <si>
    <r>
      <t>Derrick Henry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RB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</si>
  <si>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24.5RB 318.0</t>
    </r>
  </si>
  <si>
    <t>26.6$9,7001.85x</t>
  </si>
  <si>
    <r>
      <t>Trevor Lawrence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QB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</si>
  <si>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20.5QB 1818.0</t>
    </r>
  </si>
  <si>
    <t>18.0$7,0002.57x</t>
  </si>
  <si>
    <r>
      <t>Austin Ekeler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RB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</si>
  <si>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28RB 417.7</t>
    </r>
  </si>
  <si>
    <t>22.7$9,4001.88x</t>
  </si>
  <si>
    <r>
      <t>Justin Jefferson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WR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</si>
  <si>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23.5WR 117.5</t>
    </r>
  </si>
  <si>
    <t>23.5$8,1002.17x</t>
  </si>
  <si>
    <r>
      <t>Tua Tagovailoa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QB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</si>
  <si>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25QB 1917.5</t>
    </r>
  </si>
  <si>
    <t>21.2$7,0002.50x</t>
  </si>
  <si>
    <r>
      <t>Justin Fields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QB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</si>
  <si>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17QB 2017.5</t>
    </r>
  </si>
  <si>
    <t>21.1$6,9002.53x</t>
  </si>
  <si>
    <r>
      <t>Ryan Tannehill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QB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</si>
  <si>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24.5QB 2117.4</t>
    </r>
  </si>
  <si>
    <t>22.8$7,1002.46x</t>
  </si>
  <si>
    <r>
      <t>Carson Wentz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QB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</si>
  <si>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23.5QB 2217.0</t>
    </r>
  </si>
  <si>
    <t>20.4$6,8002.50x</t>
  </si>
  <si>
    <r>
      <t>Daniel Jones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QB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</si>
  <si>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19QB 2317.0</t>
    </r>
  </si>
  <si>
    <t>21.5$7,1002.39x</t>
  </si>
  <si>
    <r>
      <t>Jared Goff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QB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</si>
  <si>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22.5QB 2416.9</t>
    </r>
  </si>
  <si>
    <t>21.3$6,8002.48x</t>
  </si>
  <si>
    <r>
      <t>Mac Jones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QB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</si>
  <si>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22QB 2516.3</t>
    </r>
  </si>
  <si>
    <t>18.2$6,6002.48x</t>
  </si>
  <si>
    <r>
      <t>Baker Mayfield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QB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</si>
  <si>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22QB 2616.3</t>
    </r>
  </si>
  <si>
    <t>19.9$6,6002.48x</t>
  </si>
  <si>
    <r>
      <t>Joe Mixon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RB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</si>
  <si>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25.5RB 516.3</t>
    </r>
  </si>
  <si>
    <t>21.4$8,3001.97x</t>
  </si>
  <si>
    <r>
      <t>Dalvin Cook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RB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</si>
  <si>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23.5RB 616.3</t>
    </r>
  </si>
  <si>
    <t>21.1$8,4001.94x</t>
  </si>
  <si>
    <r>
      <t>Davis Mills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QB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</si>
  <si>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19QB 2715.9</t>
    </r>
  </si>
  <si>
    <t>21.7$6,5002.45x</t>
  </si>
  <si>
    <r>
      <t>Marcus Mariota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QB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</si>
  <si>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18.5QB 2815.8</t>
    </r>
  </si>
  <si>
    <t>22.6$6,5002.43x</t>
  </si>
  <si>
    <r>
      <t>Cooper Kupp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WR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</si>
  <si>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25WR 215.6</t>
    </r>
  </si>
  <si>
    <t>21.2$9,5001.64x</t>
  </si>
  <si>
    <r>
      <t>Mitch Trubisky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QB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</si>
  <si>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19QB 2915.5</t>
    </r>
  </si>
  <si>
    <t>21.4$6,4002.42x</t>
  </si>
  <si>
    <r>
      <t>Ja'Marr Chase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WR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</si>
  <si>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25.5WR 315.1</t>
    </r>
  </si>
  <si>
    <t>25.1$8,2001.84x</t>
  </si>
  <si>
    <r>
      <t>Alvin Kamara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RB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</si>
  <si>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24RB 715.1</t>
    </r>
  </si>
  <si>
    <t>20.1$8,5001.77x</t>
  </si>
  <si>
    <r>
      <t>Najee Harris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RB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</si>
  <si>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19RB 815.1</t>
    </r>
  </si>
  <si>
    <t>18.0$8,2001.84x</t>
  </si>
  <si>
    <r>
      <t>Jacoby Brissett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QB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</si>
  <si>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19.5QB 3015.1</t>
    </r>
  </si>
  <si>
    <t>17.9$6,3002.39x</t>
  </si>
  <si>
    <r>
      <t>Davante Adams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WR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</si>
  <si>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24.5WR 414.8</t>
    </r>
  </si>
  <si>
    <t>20.6$8,5001.74x</t>
  </si>
  <si>
    <r>
      <t>Geno Smith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SEA - QB</t>
    </r>
  </si>
  <si>
    <r>
      <t>DEN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6.543</t>
    </r>
    <r>
      <rPr>
        <sz val="11"/>
        <color theme="1"/>
        <rFont val="Calibri"/>
        <family val="2"/>
        <scheme val="minor"/>
      </rPr>
      <t>18.5QB 3114.4</t>
    </r>
  </si>
  <si>
    <t>18.6$6,3002.28x</t>
  </si>
  <si>
    <r>
      <t>Stefon Diggs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WR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</si>
  <si>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27.5WR 514.3</t>
    </r>
  </si>
  <si>
    <t>18.7$7,6001.89x</t>
  </si>
  <si>
    <r>
      <t>D'Andre Swift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RB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</si>
  <si>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22.5RB 914.3</t>
    </r>
  </si>
  <si>
    <t>18.7$7,6001.88x</t>
  </si>
  <si>
    <r>
      <t>Aaron Jones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RB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</si>
  <si>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25RB 1014.0</t>
    </r>
  </si>
  <si>
    <t>20.0$7,4001.90x</t>
  </si>
  <si>
    <r>
      <t>Nick Chubb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RB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</si>
  <si>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19.5RB 1114.0</t>
    </r>
  </si>
  <si>
    <t>18.6$7,8001.80x</t>
  </si>
  <si>
    <r>
      <t>Saquon Barkley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RB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</si>
  <si>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19RB 1213.9</t>
    </r>
  </si>
  <si>
    <t>17.1$6,8002.05x</t>
  </si>
  <si>
    <r>
      <t>CeeDee Lamb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WR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</si>
  <si>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24.5WR 613.8</t>
    </r>
  </si>
  <si>
    <t>17.9$7,6001.82x</t>
  </si>
  <si>
    <r>
      <t>Javonte Williams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RB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</si>
  <si>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25RB 1313.8</t>
    </r>
  </si>
  <si>
    <t>17.0$6,2002.23x</t>
  </si>
  <si>
    <r>
      <t>Leonard Fournette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RB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</si>
  <si>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26RB 1413.7</t>
    </r>
  </si>
  <si>
    <t>17.6$7,2001.90x</t>
  </si>
  <si>
    <r>
      <t>James Conner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RB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</si>
  <si>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25RB 1513.6</t>
    </r>
  </si>
  <si>
    <t>19.2$7,7001.77x</t>
  </si>
  <si>
    <r>
      <t>Mark Andrews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TE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</si>
  <si>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26TE 113.5</t>
    </r>
  </si>
  <si>
    <t>18.1$7,9001.71x</t>
  </si>
  <si>
    <r>
      <t>Joe Flacco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QB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</si>
  <si>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19QB 3213.5</t>
    </r>
  </si>
  <si>
    <t>17.5$6,2002.17x</t>
  </si>
  <si>
    <r>
      <t>Michael Pittman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WR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</si>
  <si>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27WR 713.4</t>
    </r>
  </si>
  <si>
    <t>15.6$7,2001.86x</t>
  </si>
  <si>
    <r>
      <t>Travis Kelce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TE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</si>
  <si>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29TE 213.4</t>
    </r>
  </si>
  <si>
    <t>16.9$8,0001.67x</t>
  </si>
  <si>
    <r>
      <t>Deebo Samuel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WR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</si>
  <si>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24WR 813.1</t>
    </r>
  </si>
  <si>
    <t>19.0$8,4001.56x</t>
  </si>
  <si>
    <r>
      <t>Antonio Gibson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RB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</si>
  <si>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23.5RB 1613.1</t>
    </r>
  </si>
  <si>
    <t>16.9$6,8001.93x</t>
  </si>
  <si>
    <r>
      <t>Mike Evans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WR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</si>
  <si>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26WR 912.9</t>
    </r>
  </si>
  <si>
    <t>18.7$8,0001.61x</t>
  </si>
  <si>
    <r>
      <t>A.J. Brown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WR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</si>
  <si>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26.5WR 1012.6</t>
    </r>
  </si>
  <si>
    <t>18.5$7,1001.78x</t>
  </si>
  <si>
    <r>
      <t>Ezekiel Elliott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RB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</si>
  <si>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24.5RB 1712.5</t>
    </r>
  </si>
  <si>
    <t>15.0$7,2001.74x</t>
  </si>
  <si>
    <r>
      <t>Tyreek Hill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WR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</si>
  <si>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25WR 1112.3</t>
    </r>
  </si>
  <si>
    <t>19.0$7,7001.59x</t>
  </si>
  <si>
    <r>
      <t>Keenan Allen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WR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</si>
  <si>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28WR 1212.2</t>
    </r>
  </si>
  <si>
    <t>14.9$7,4001.64x</t>
  </si>
  <si>
    <r>
      <t>Josh Jacobs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RB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</si>
  <si>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24.5RB 1812.1</t>
    </r>
  </si>
  <si>
    <t>15.4$7,0001.73x</t>
  </si>
  <si>
    <r>
      <t>Travis Etienne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RB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</si>
  <si>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20.5RB 1911.9</t>
    </r>
  </si>
  <si>
    <t>11.9$6,2001.93x</t>
  </si>
  <si>
    <r>
      <t>Courtland Sutton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WR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</si>
  <si>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25WR 1311.9</t>
    </r>
  </si>
  <si>
    <t>13.9$6,5001.83x</t>
  </si>
  <si>
    <r>
      <t>Tee Higgins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WR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</si>
  <si>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25.5WR 1411.9</t>
    </r>
  </si>
  <si>
    <t>17.2$7,0001.70x</t>
  </si>
  <si>
    <r>
      <t>DJ Moore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WR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</si>
  <si>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22WR 1511.9</t>
    </r>
  </si>
  <si>
    <t>14.8$6,4001.86x</t>
  </si>
  <si>
    <r>
      <t>David Montgomery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RB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</si>
  <si>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17RB 2011.8</t>
    </r>
  </si>
  <si>
    <t>15.9$6,6001.79x</t>
  </si>
  <si>
    <r>
      <t>Diontae Johnson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WR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</si>
  <si>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19WR 1611.8</t>
    </r>
  </si>
  <si>
    <t>16.0$6,7001.76x</t>
  </si>
  <si>
    <r>
      <t>Elijah Mitchell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RB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</si>
  <si>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24RB 2111.8</t>
    </r>
  </si>
  <si>
    <t>18.9$6,7001.75x</t>
  </si>
  <si>
    <r>
      <t>AJ Dillon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RB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</si>
  <si>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25RB 2211.6</t>
    </r>
  </si>
  <si>
    <t>16.4$6,1001.91x</t>
  </si>
  <si>
    <r>
      <t>Cam Akers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RB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</si>
  <si>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25RB 2311.6</t>
    </r>
  </si>
  <si>
    <t>16.1$6,3001.84x</t>
  </si>
  <si>
    <r>
      <t>Marquise Brown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WR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</si>
  <si>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25WR 1711.6</t>
    </r>
  </si>
  <si>
    <t>15.2$6,9001.68x</t>
  </si>
  <si>
    <r>
      <t>Mike Williams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WR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</si>
  <si>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28WR 1811.4</t>
    </r>
  </si>
  <si>
    <t>16.3$6,6001.73x</t>
  </si>
  <si>
    <r>
      <t>Brandin Cooks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WR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</si>
  <si>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19WR 1911.4</t>
    </r>
  </si>
  <si>
    <t>14.8$6,6001.73x</t>
  </si>
  <si>
    <r>
      <t>Terry McLaurin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WR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</si>
  <si>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23.5WR 2011.4</t>
    </r>
  </si>
  <si>
    <t>14.7$7,0001.63x</t>
  </si>
  <si>
    <r>
      <t>Chase Edmonds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RB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</si>
  <si>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25RB 2411.3</t>
    </r>
  </si>
  <si>
    <t>14.9$5,8001.94x</t>
  </si>
  <si>
    <r>
      <t>Jaylen Waddle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WR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</si>
  <si>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25WR 2111.1</t>
    </r>
  </si>
  <si>
    <t>15.6$6,8001.64x</t>
  </si>
  <si>
    <r>
      <t>Rashod Bateman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WR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</si>
  <si>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26WR 2211.1</t>
    </r>
  </si>
  <si>
    <t>13.8$6,1001.82x</t>
  </si>
  <si>
    <r>
      <t>DK Metcalf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SEA - WR</t>
    </r>
  </si>
  <si>
    <r>
      <t>DEN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6.543</t>
    </r>
    <r>
      <rPr>
        <sz val="11"/>
        <color theme="1"/>
        <rFont val="Calibri"/>
        <family val="2"/>
        <scheme val="minor"/>
      </rPr>
      <t>18.5WR 2311.1</t>
    </r>
  </si>
  <si>
    <t>15.0$6,9001.61x</t>
  </si>
  <si>
    <r>
      <t>Darnell Mooney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WR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</si>
  <si>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17WR 2410.9</t>
    </r>
  </si>
  <si>
    <t>14.7$6,2001.76x</t>
  </si>
  <si>
    <r>
      <t>Rashaad Penny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SEA - RB</t>
    </r>
  </si>
  <si>
    <r>
      <t>DEN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6.543</t>
    </r>
    <r>
      <rPr>
        <sz val="11"/>
        <color theme="1"/>
        <rFont val="Calibri"/>
        <family val="2"/>
        <scheme val="minor"/>
      </rPr>
      <t>18.5RB 2510.9</t>
    </r>
  </si>
  <si>
    <t>16.1$6,0001.81x</t>
  </si>
  <si>
    <r>
      <t>Michael Thomas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WR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</si>
  <si>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24WR 2510.8</t>
    </r>
  </si>
  <si>
    <t>15.0$6,2001.74x</t>
  </si>
  <si>
    <r>
      <t>Allen Robinson II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WR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</si>
  <si>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25WR 2610.7</t>
    </r>
  </si>
  <si>
    <t>13.3$5,9001.81x</t>
  </si>
  <si>
    <r>
      <t>Jerry Jeudy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WR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</si>
  <si>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25WR 2710.7</t>
    </r>
  </si>
  <si>
    <t>12.2$6,2001.72x</t>
  </si>
  <si>
    <r>
      <t>Gabriel Davis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WR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</si>
  <si>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27.5WR 2810.5</t>
    </r>
  </si>
  <si>
    <t>16.2$6,6001.59x</t>
  </si>
  <si>
    <r>
      <t>Amon-Ra St. Brown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WR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</si>
  <si>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22.5WR 2910.5</t>
    </r>
  </si>
  <si>
    <t>17.0$6,5001.61x</t>
  </si>
  <si>
    <r>
      <t>JuJu Smith-Schuster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WR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</si>
  <si>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29WR 3010.4</t>
    </r>
  </si>
  <si>
    <t>13.2$6,3001.65x</t>
  </si>
  <si>
    <r>
      <t>Damien Harris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RB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</si>
  <si>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22RB 2610.4</t>
    </r>
  </si>
  <si>
    <t>14.2$6,3001.65x</t>
  </si>
  <si>
    <r>
      <t>Breece Hall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RB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</si>
  <si>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19RB 2710.4</t>
    </r>
  </si>
  <si>
    <t>10.4$6,4001.62x</t>
  </si>
  <si>
    <r>
      <t>Clyde Edwards-Helaire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RB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</si>
  <si>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29RB 2810.3</t>
    </r>
  </si>
  <si>
    <t>11.6$5,8001.78x</t>
  </si>
  <si>
    <r>
      <t>Dameon Pierce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RB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</si>
  <si>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19RB 2910.3</t>
    </r>
  </si>
  <si>
    <t>10.3$5,4001.91x</t>
  </si>
  <si>
    <r>
      <t>Miles Sanders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RB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</si>
  <si>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26.5RB 3010.3</t>
    </r>
  </si>
  <si>
    <t>12.5$6,5001.58x</t>
  </si>
  <si>
    <r>
      <t>Elijah Moore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WR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</si>
  <si>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19WR 3110.1</t>
    </r>
  </si>
  <si>
    <t>18.7$6,0001.68x</t>
  </si>
  <si>
    <r>
      <t>Adam Thielen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WR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</si>
  <si>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23.5WR 3210.0</t>
    </r>
  </si>
  <si>
    <t>13.9$6,1001.65x</t>
  </si>
  <si>
    <r>
      <t>Amari Cooper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WR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</si>
  <si>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19.5WR 3310.0</t>
    </r>
  </si>
  <si>
    <t>14.6$6,4001.57x</t>
  </si>
  <si>
    <r>
      <t>Allen Lazard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WR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</si>
  <si>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25WR 3410.0</t>
    </r>
  </si>
  <si>
    <t>14.4$6,3001.59x</t>
  </si>
  <si>
    <r>
      <t>Christian Kirk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WR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</si>
  <si>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20.5WR 3510.0</t>
    </r>
  </si>
  <si>
    <t>14.2$5,8001.72x</t>
  </si>
  <si>
    <r>
      <t>Kareem Hunt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RB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</si>
  <si>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19.5RB 319.9</t>
    </r>
  </si>
  <si>
    <t>14.8$6,3001.57x</t>
  </si>
  <si>
    <r>
      <t>Rhamondre Stevenson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RB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</si>
  <si>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22RB 329.9</t>
    </r>
  </si>
  <si>
    <t>16.1$5,6001.76x</t>
  </si>
  <si>
    <r>
      <t>DeVonta Smith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WR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</si>
  <si>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26.5WR 369.8</t>
    </r>
  </si>
  <si>
    <t>12.1$6,1001.60x</t>
  </si>
  <si>
    <r>
      <t>Kyle Pitts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TE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</si>
  <si>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18.5TE 39.7</t>
    </r>
  </si>
  <si>
    <t>11.1$6,0001.62x</t>
  </si>
  <si>
    <r>
      <t>Cordarrelle Patterson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RB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</si>
  <si>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18.5RB 339.6</t>
    </r>
  </si>
  <si>
    <t>13.6$6,6001.46x</t>
  </si>
  <si>
    <r>
      <t>Tony Pollard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RB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</si>
  <si>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24.5RB 349.6</t>
    </r>
  </si>
  <si>
    <t>13.6$5,5001.75x</t>
  </si>
  <si>
    <r>
      <t>Hunter Renfrow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WR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</si>
  <si>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24.5WR 379.4</t>
    </r>
  </si>
  <si>
    <t>13.3$5,9001.60x</t>
  </si>
  <si>
    <r>
      <t>Brandon Aiyuk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WR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</si>
  <si>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24WR 389.3</t>
    </r>
  </si>
  <si>
    <t>13.8$5,6001.67x</t>
  </si>
  <si>
    <r>
      <t>George Kittle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TE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</si>
  <si>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24TE 49.3</t>
    </r>
  </si>
  <si>
    <t>13.9$6,1001.52x</t>
  </si>
  <si>
    <r>
      <t>Tyler Lockett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SEA - WR</t>
    </r>
  </si>
  <si>
    <r>
      <t>DEN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6.543</t>
    </r>
    <r>
      <rPr>
        <sz val="11"/>
        <color theme="1"/>
        <rFont val="Calibri"/>
        <family val="2"/>
        <scheme val="minor"/>
      </rPr>
      <t>18.5WR 399.3</t>
    </r>
  </si>
  <si>
    <t>14.1$6,3001.47x</t>
  </si>
  <si>
    <r>
      <t>Robert Woods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WR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</si>
  <si>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24.5WR 409.2</t>
    </r>
  </si>
  <si>
    <t>13.2$5,6001.64x</t>
  </si>
  <si>
    <r>
      <t>Drake London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WR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</si>
  <si>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18.5WR 419.1</t>
    </r>
  </si>
  <si>
    <t>9.1$5,5001.66x</t>
  </si>
  <si>
    <r>
      <t>Dalton Schultz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TE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</si>
  <si>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24.5TE 59.0</t>
    </r>
  </si>
  <si>
    <t>11.8$5,3001.70x</t>
  </si>
  <si>
    <r>
      <t>Chris Godwin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WR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</si>
  <si>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26WR 429.0</t>
    </r>
  </si>
  <si>
    <t>14.4$7,0001.29x</t>
  </si>
  <si>
    <r>
      <t>Kadarius Toney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WR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</si>
  <si>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19WR 439.0</t>
    </r>
  </si>
  <si>
    <t>12.5$5,3001.70x</t>
  </si>
  <si>
    <r>
      <t>Chris Olave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WR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</si>
  <si>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24WR 449.0</t>
    </r>
  </si>
  <si>
    <t>9.0$5,0001.80x</t>
  </si>
  <si>
    <r>
      <t>Devin Singletary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RB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</si>
  <si>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27.5RB 359.0</t>
    </r>
  </si>
  <si>
    <t>11.3$5,7001.57x</t>
  </si>
  <si>
    <r>
      <t>Melvin Gordon III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RB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</si>
  <si>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25RB 368.9</t>
    </r>
  </si>
  <si>
    <t>12.5$6,2001.43x</t>
  </si>
  <si>
    <r>
      <t>Chase Claypool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WR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</si>
  <si>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19WR 458.9</t>
    </r>
  </si>
  <si>
    <t>14.4$5,8001.53x</t>
  </si>
  <si>
    <r>
      <t>Darren Waller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TE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</si>
  <si>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24.5TE 68.8</t>
    </r>
  </si>
  <si>
    <t>12.0$7,0001.26x</t>
  </si>
  <si>
    <r>
      <t>San Francisco 49ers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DEF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</si>
  <si>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24DEF 18.6</t>
    </r>
  </si>
  <si>
    <t>13.2$5,0001.72x</t>
  </si>
  <si>
    <r>
      <t>Dallas Goedert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TE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</si>
  <si>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26.5TE 78.6</t>
    </r>
  </si>
  <si>
    <t>11.8$5,7001.50x</t>
  </si>
  <si>
    <r>
      <t>Zach Wilson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QB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</si>
  <si>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19QB 338.5</t>
    </r>
  </si>
  <si>
    <t>11.9$6,6001.29x</t>
  </si>
  <si>
    <r>
      <t>Tyler Boyd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WR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</si>
  <si>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25.5WR 468.5</t>
    </r>
  </si>
  <si>
    <t>12.3$5,7001.49x</t>
  </si>
  <si>
    <r>
      <t>Marquez Valdes-Scantling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WR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</si>
  <si>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29WR 478.4</t>
    </r>
  </si>
  <si>
    <t>11.7$5,5001.53x</t>
  </si>
  <si>
    <r>
      <t>Michael Carter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RB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</si>
  <si>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19RB 378.4</t>
    </r>
  </si>
  <si>
    <t>12.0$5,2001.62x</t>
  </si>
  <si>
    <r>
      <t>Jakobi Meyers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WR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</si>
  <si>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22WR 488.4</t>
    </r>
  </si>
  <si>
    <t>10.0$5,5001.53x</t>
  </si>
  <si>
    <r>
      <t>Darrell Henderson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RB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</si>
  <si>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25RB 388.2</t>
    </r>
  </si>
  <si>
    <t>10.3$5,4001.52x</t>
  </si>
  <si>
    <r>
      <t>Nyheim Hines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RB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</si>
  <si>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27RB 398.1</t>
    </r>
  </si>
  <si>
    <t>11.2$5,4001.51x</t>
  </si>
  <si>
    <r>
      <t>Jarvis Landry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WR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</si>
  <si>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24WR 498.1</t>
    </r>
  </si>
  <si>
    <t>11.0$5,7001.43x</t>
  </si>
  <si>
    <r>
      <t>Denver Broncos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DEF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</si>
  <si>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25DEF 28.0</t>
    </r>
  </si>
  <si>
    <t>12.9$4,5001.79x</t>
  </si>
  <si>
    <r>
      <t>DeVante Parker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WR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</si>
  <si>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22WR 508.0</t>
    </r>
  </si>
  <si>
    <t>11.4$5,7001.40x</t>
  </si>
  <si>
    <r>
      <t>T.J. Hockenson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TE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</si>
  <si>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22.5TE 88.0</t>
    </r>
  </si>
  <si>
    <t>9.9$5,7001.40x</t>
  </si>
  <si>
    <r>
      <t>Rondale Moore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WR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</si>
  <si>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25WR 518.0</t>
    </r>
  </si>
  <si>
    <t>10.0$5,5001.45x</t>
  </si>
  <si>
    <r>
      <t>Zach Ertz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TE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</si>
  <si>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25TE 97.7</t>
    </r>
  </si>
  <si>
    <t>10.7$5,6001.38x</t>
  </si>
  <si>
    <r>
      <t>New Orleans Saints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DEF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</si>
  <si>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24DEF 37.7</t>
    </r>
  </si>
  <si>
    <t>13.4$4,9001.56x</t>
  </si>
  <si>
    <r>
      <t>George Pickens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WR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</si>
  <si>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19WR 527.6</t>
    </r>
  </si>
  <si>
    <t>7.6$5,2001.47x</t>
  </si>
  <si>
    <r>
      <t>Jahan Dotson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WR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</si>
  <si>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23.5WR 537.6</t>
    </r>
  </si>
  <si>
    <t>7.6$4,9001.55x</t>
  </si>
  <si>
    <r>
      <t>Treylon Burks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WR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</si>
  <si>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24.5WR 547.6</t>
    </r>
  </si>
  <si>
    <t>7.6$5,9001.28x</t>
  </si>
  <si>
    <r>
      <t>Julio Jones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WR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</si>
  <si>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26WR 557.5</t>
    </r>
  </si>
  <si>
    <t>10.1$5,6001.35x</t>
  </si>
  <si>
    <r>
      <t>Garrett Wilson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WR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</si>
  <si>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19WR 567.4</t>
    </r>
  </si>
  <si>
    <t>7.4$5,3001.40x</t>
  </si>
  <si>
    <r>
      <t>James Cook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RB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</si>
  <si>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27.5RB 407.4</t>
    </r>
  </si>
  <si>
    <t>7.4$4,8001.55x</t>
  </si>
  <si>
    <r>
      <t>Baltimore Ravens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DEF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</si>
  <si>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26DEF 47.4</t>
    </r>
  </si>
  <si>
    <t>13.5$4,8001.55x</t>
  </si>
  <si>
    <r>
      <t>Russell Gage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WR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</si>
  <si>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26WR 577.4</t>
    </r>
  </si>
  <si>
    <t>10.6$5,9001.26x</t>
  </si>
  <si>
    <r>
      <t>Indianapolis Colts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DEF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</si>
  <si>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27DEF 57.4</t>
    </r>
  </si>
  <si>
    <t>12.4$4,5001.65x</t>
  </si>
  <si>
    <r>
      <t>DJ Chark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WR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</si>
  <si>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22.5WR 587.4</t>
    </r>
  </si>
  <si>
    <t>11.9$5,3001.40x</t>
  </si>
  <si>
    <r>
      <t>Nico Collins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WR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</si>
  <si>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19WR 597.4</t>
    </r>
  </si>
  <si>
    <t>8.1$5,2001.42x</t>
  </si>
  <si>
    <r>
      <t>Dawson Knox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TE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</si>
  <si>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27.5TE 107.4</t>
    </r>
  </si>
  <si>
    <t>10.5$5,5001.34x</t>
  </si>
  <si>
    <r>
      <t>Kenny Golladay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WR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</si>
  <si>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19WR 607.3</t>
    </r>
  </si>
  <si>
    <t>9.9$5,6001.31x</t>
  </si>
  <si>
    <r>
      <t>Cleveland Browns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DEF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</si>
  <si>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19.5DEF 67.3</t>
    </r>
  </si>
  <si>
    <t>11.2$4,3001.70x</t>
  </si>
  <si>
    <r>
      <t>Corey Davis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WR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</si>
  <si>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19WR 617.1</t>
    </r>
  </si>
  <si>
    <t>10.8$5,4001.32x</t>
  </si>
  <si>
    <r>
      <t>James Robinson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RB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</si>
  <si>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20.5RB 417.1</t>
    </r>
  </si>
  <si>
    <t>10.4$6,2001.15x</t>
  </si>
  <si>
    <r>
      <t>Isaiah McKenzie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WR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</si>
  <si>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27.5WR 627.1</t>
    </r>
  </si>
  <si>
    <t>11.1$5,1001.39x</t>
  </si>
  <si>
    <r>
      <t>Buffalo Bills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DEF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</si>
  <si>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27.5DEF 77.1</t>
    </r>
  </si>
  <si>
    <t>12.1$4,1001.73x</t>
  </si>
  <si>
    <r>
      <t>Mecole Hardman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WR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</si>
  <si>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29WR 637.1</t>
    </r>
  </si>
  <si>
    <t>9.9$5,4001.31x</t>
  </si>
  <si>
    <r>
      <t>Skyy Moore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WR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</si>
  <si>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29WR 647.1</t>
    </r>
  </si>
  <si>
    <t>7.1$4,6001.53x</t>
  </si>
  <si>
    <r>
      <t>Cincinnati Bengals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DEF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</si>
  <si>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25.5DEF 87.0</t>
    </r>
  </si>
  <si>
    <t>10.3$4,4001.60x</t>
  </si>
  <si>
    <r>
      <t>Pat Freiermuth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TE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</si>
  <si>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19TE 117.0</t>
    </r>
  </si>
  <si>
    <t>10.4$5,3001.32x</t>
  </si>
  <si>
    <r>
      <t>Cole Kmet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TE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</si>
  <si>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17TE 127.0</t>
    </r>
  </si>
  <si>
    <t>8.3$5,0001.40x</t>
  </si>
  <si>
    <r>
      <t>Hunter Henry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TE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</si>
  <si>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22TE 137.0</t>
    </r>
  </si>
  <si>
    <t>10.0$5,4001.29x</t>
  </si>
  <si>
    <r>
      <t>Marvin Jones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WR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</si>
  <si>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20.5WR 656.9</t>
    </r>
  </si>
  <si>
    <t>11.9$5,5001.26x</t>
  </si>
  <si>
    <r>
      <t>K.J. Osborn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WR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</si>
  <si>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23.5WR 666.9</t>
    </r>
  </si>
  <si>
    <t>10.9$5,2001.33x</t>
  </si>
  <si>
    <r>
      <t>Albert Okwuegbunam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TE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</si>
  <si>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25TE 146.9</t>
    </r>
  </si>
  <si>
    <t>9.6$4,9001.41x</t>
  </si>
  <si>
    <r>
      <t>Tennessee Titans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DEF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</si>
  <si>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24.5DEF 96.9</t>
    </r>
  </si>
  <si>
    <t>11.7$4,6001.49x</t>
  </si>
  <si>
    <r>
      <t>Miami Dolphins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DEF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</si>
  <si>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25DEF 106.8</t>
    </r>
  </si>
  <si>
    <t>12.0$3,8001.80x</t>
  </si>
  <si>
    <r>
      <t>David Njoku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TE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</si>
  <si>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19.5TE 156.8</t>
    </r>
  </si>
  <si>
    <t>9.1$5,0001.37x</t>
  </si>
  <si>
    <r>
      <t>J.D. McKissic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RB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</si>
  <si>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23.5RB 426.8</t>
    </r>
  </si>
  <si>
    <t>10.1$5,2001.31x</t>
  </si>
  <si>
    <r>
      <t>Irv Smith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TE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</si>
  <si>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23.5TE 166.8</t>
    </r>
  </si>
  <si>
    <t>9.7$5,1001.33x</t>
  </si>
  <si>
    <r>
      <t>Robbie Anderson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WR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</si>
  <si>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22WR 676.8</t>
    </r>
  </si>
  <si>
    <t>9.7$5,3001.28x</t>
  </si>
  <si>
    <r>
      <t>Jalen Tolbert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WR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</si>
  <si>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24.5WR 686.7</t>
    </r>
  </si>
  <si>
    <t>6.7$5,1001.32x</t>
  </si>
  <si>
    <r>
      <t>Mike Gesicki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TE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</si>
  <si>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25TE 176.7</t>
    </r>
  </si>
  <si>
    <t>9.1$5,5001.22x</t>
  </si>
  <si>
    <r>
      <t>Joshua Palmer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WR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</si>
  <si>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28WR 696.6</t>
    </r>
  </si>
  <si>
    <t>9.4$4,9001.35x</t>
  </si>
  <si>
    <r>
      <t>Gerald Everett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TE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</si>
  <si>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28TE 186.6</t>
    </r>
  </si>
  <si>
    <t>9.4$5,2001.27x</t>
  </si>
  <si>
    <r>
      <t>Evan Engram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TE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</si>
  <si>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20.5TE 196.6</t>
    </r>
  </si>
  <si>
    <t>8.4$4,9001.34x</t>
  </si>
  <si>
    <r>
      <t>Van Jefferson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WR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</si>
  <si>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25WR 706.5</t>
    </r>
  </si>
  <si>
    <t>9.2$5,2001.26x</t>
  </si>
  <si>
    <r>
      <t>Jamaal Williams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RB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</si>
  <si>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22.5RB 436.5</t>
    </r>
  </si>
  <si>
    <t>9.3$5,7001.15x</t>
  </si>
  <si>
    <r>
      <t>Kenneth Gainwell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RB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</si>
  <si>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26.5RB 446.5</t>
    </r>
  </si>
  <si>
    <t>9.9$5,3001.22x</t>
  </si>
  <si>
    <r>
      <t>Austin Hooper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TE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</si>
  <si>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24.5TE 206.4</t>
    </r>
  </si>
  <si>
    <t>9.0$4,9001.31x</t>
  </si>
  <si>
    <r>
      <t>Curtis Samuel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WR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</si>
  <si>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23.5WR 716.4</t>
    </r>
  </si>
  <si>
    <t>10.8$5,1001.25x</t>
  </si>
  <si>
    <r>
      <t>Tampa Bay Buccaneers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DEF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</si>
  <si>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26DEF 116.4</t>
    </r>
  </si>
  <si>
    <t>11.5$4,1001.55x</t>
  </si>
  <si>
    <r>
      <t>Raheem Mostert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RB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</si>
  <si>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25RB 456.4</t>
    </r>
  </si>
  <si>
    <t>11.3$5,5001.15x</t>
  </si>
  <si>
    <r>
      <t>Alec Pierce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WR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</si>
  <si>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27WR 726.3</t>
    </r>
  </si>
  <si>
    <t>6.3$4,9001.30x</t>
  </si>
  <si>
    <r>
      <t>Philadelphia Eagles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DEF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</si>
  <si>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26.5DEF 126.3</t>
    </r>
  </si>
  <si>
    <t>11.0$4,1001.54x</t>
  </si>
  <si>
    <r>
      <t>A.J. Green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WR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</si>
  <si>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25WR 736.3</t>
    </r>
  </si>
  <si>
    <t>8.4$5,7001.10x</t>
  </si>
  <si>
    <r>
      <t>New England Patriots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DEF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</si>
  <si>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22DEF 136.2</t>
    </r>
  </si>
  <si>
    <t>13.8$3,9001.60x</t>
  </si>
  <si>
    <r>
      <t>Donovan Peoples-Jones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WR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</si>
  <si>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19.5WR 746.2</t>
    </r>
  </si>
  <si>
    <t>10.9$5,4001.15x</t>
  </si>
  <si>
    <r>
      <t>Alexander Mattison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RB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</si>
  <si>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23.5RB 466.2</t>
    </r>
  </si>
  <si>
    <t>8.6$6,0001.04x</t>
  </si>
  <si>
    <r>
      <t>Tyler Higbee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TE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</si>
  <si>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25TE 216.2</t>
    </r>
  </si>
  <si>
    <t>9.1$5,3001.17x</t>
  </si>
  <si>
    <r>
      <t>Los Angeles Chargers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DEF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</si>
  <si>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28DEF 146.2</t>
    </r>
  </si>
  <si>
    <t>8.5$4,0001.54x</t>
  </si>
  <si>
    <r>
      <t>Green Bay Packers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DEF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</si>
  <si>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25DEF 156.1</t>
    </r>
  </si>
  <si>
    <t>9.9$4,2001.46x</t>
  </si>
  <si>
    <r>
      <t>Noah Fant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SEA - TE</t>
    </r>
  </si>
  <si>
    <r>
      <t>DEN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6.543</t>
    </r>
    <r>
      <rPr>
        <sz val="11"/>
        <color theme="1"/>
        <rFont val="Calibri"/>
        <family val="2"/>
        <scheme val="minor"/>
      </rPr>
      <t>18.5TE 226.0</t>
    </r>
  </si>
  <si>
    <t>8.4$5,1001.19x</t>
  </si>
  <si>
    <r>
      <t>Parris Campbell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WR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</si>
  <si>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27WR 756.0</t>
    </r>
  </si>
  <si>
    <t>8.7$5,2001.16x</t>
  </si>
  <si>
    <r>
      <t>Kansas City Chiefs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DEF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</si>
  <si>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29DEF 166.0</t>
    </r>
  </si>
  <si>
    <t>12.1$3,7001.62x</t>
  </si>
  <si>
    <r>
      <t>Zay Jones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WR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</si>
  <si>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20.5WR 766.0</t>
    </r>
  </si>
  <si>
    <t>9.2$5,1001.17x</t>
  </si>
  <si>
    <r>
      <t>Los Angeles Rams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DEF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</si>
  <si>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25DEF 176.0</t>
    </r>
  </si>
  <si>
    <t>11.9$4,0001.49x</t>
  </si>
  <si>
    <r>
      <t>Pittsburgh Steelers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DEF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</si>
  <si>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19DEF 186.0</t>
    </r>
  </si>
  <si>
    <t>11.4$3,5001.70x</t>
  </si>
  <si>
    <r>
      <t>Mark Ingram II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RB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</si>
  <si>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24RB 476.0</t>
    </r>
  </si>
  <si>
    <t>8.8$5,5001.08x</t>
  </si>
  <si>
    <r>
      <t>Sammy Watkins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WR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</si>
  <si>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25WR 776.0</t>
    </r>
  </si>
  <si>
    <t>9.4$5,5001.08x</t>
  </si>
  <si>
    <r>
      <t>Christian Watson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WR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</si>
  <si>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25WR 785.9</t>
    </r>
  </si>
  <si>
    <t>5.9$5,2001.14x</t>
  </si>
  <si>
    <r>
      <t>Wan'Dale Robinson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WR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</si>
  <si>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19WR 795.9</t>
    </r>
  </si>
  <si>
    <t>5.9$4,7001.26x</t>
  </si>
  <si>
    <r>
      <t>Carolina Panthers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DEF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</si>
  <si>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22DEF 195.9</t>
    </r>
  </si>
  <si>
    <t>9.4$4,7001.26x</t>
  </si>
  <si>
    <r>
      <t>Washington Commanders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DEF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</si>
  <si>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23.5DEF 205.9</t>
    </r>
  </si>
  <si>
    <t>10.3$3,7001.59x</t>
  </si>
  <si>
    <r>
      <t>Romeo Doubs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WR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</si>
  <si>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25WR 805.9</t>
    </r>
  </si>
  <si>
    <t>5.9$5,0001.18x</t>
  </si>
  <si>
    <r>
      <t>Dallas Cowboys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DEF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</si>
  <si>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24.5DEF 215.8</t>
    </r>
  </si>
  <si>
    <t>10.2$4,1001.42x</t>
  </si>
  <si>
    <r>
      <t>Jacksonville Jaguars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DEF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</si>
  <si>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20.5DEF 225.8</t>
    </r>
  </si>
  <si>
    <t>8.5$3,6001.61x</t>
  </si>
  <si>
    <r>
      <t>Chicago Bears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DEF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</si>
  <si>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17DEF 235.8</t>
    </r>
  </si>
  <si>
    <t>11.4$3,8001.52x</t>
  </si>
  <si>
    <r>
      <t>KJ Hamler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WR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</si>
  <si>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25WR 815.7</t>
    </r>
  </si>
  <si>
    <t>8.6$4,9001.15x</t>
  </si>
  <si>
    <r>
      <t>Jamison Crowder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WR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</si>
  <si>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27.5WR 825.6</t>
    </r>
  </si>
  <si>
    <t>9.4$5,3001.06x</t>
  </si>
  <si>
    <r>
      <t>Kendrick Bourne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WR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</si>
  <si>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22WR 835.6</t>
    </r>
  </si>
  <si>
    <t>10.0$5,1001.10x</t>
  </si>
  <si>
    <r>
      <t>Arizona Cardinals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DEF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</si>
  <si>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25DEF 245.6</t>
    </r>
  </si>
  <si>
    <t>9.0$3,5001.60x</t>
  </si>
  <si>
    <r>
      <t>J.K. Dobbins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RB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</si>
  <si>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26RB 485.6</t>
    </r>
  </si>
  <si>
    <t>10.4$6,9000.81x</t>
  </si>
  <si>
    <r>
      <t>Khalil Herbert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RB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</si>
  <si>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17RB 495.6</t>
    </r>
  </si>
  <si>
    <t>7.7$5,3001.05x</t>
  </si>
  <si>
    <r>
      <t>New York Giants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DEF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</si>
  <si>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19DEF 255.6</t>
    </r>
  </si>
  <si>
    <t>9.5$3,4001.64x</t>
  </si>
  <si>
    <r>
      <t>Robert Tonyan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TE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</si>
  <si>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25TE 235.5</t>
    </r>
  </si>
  <si>
    <t>9.0$5,1001.08x</t>
  </si>
  <si>
    <r>
      <t>Minnesota Vikings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DEF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</si>
  <si>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23.5DEF 265.5</t>
    </r>
  </si>
  <si>
    <t>9.7$3,2001.72x</t>
  </si>
  <si>
    <r>
      <t>Seattle Seahawks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SEA - DEF</t>
    </r>
  </si>
  <si>
    <r>
      <t>DEN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6.543</t>
    </r>
    <r>
      <rPr>
        <sz val="11"/>
        <color theme="1"/>
        <rFont val="Calibri"/>
        <family val="2"/>
        <scheme val="minor"/>
      </rPr>
      <t>18.5DEF 275.5</t>
    </r>
  </si>
  <si>
    <t>8.8$3,4001.62x</t>
  </si>
  <si>
    <r>
      <t>New York Jets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DEF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</si>
  <si>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19DEF 285.5</t>
    </r>
  </si>
  <si>
    <t>9.1$3,3001.66x</t>
  </si>
  <si>
    <r>
      <t>Atlanta Falcons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DEF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</si>
  <si>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18.5DEF 295.5</t>
    </r>
  </si>
  <si>
    <t>9.0$3,6001.52x</t>
  </si>
  <si>
    <r>
      <t>Las Vegas Raiders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DEF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</si>
  <si>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24.5DEF 305.4</t>
    </r>
  </si>
  <si>
    <t>5.9$3,0001.81x</t>
  </si>
  <si>
    <r>
      <t>Detroit Lions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DEF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</si>
  <si>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22.5DEF 315.4</t>
    </r>
  </si>
  <si>
    <t>6.8$3,1001.74x</t>
  </si>
  <si>
    <r>
      <t>Randall Cobb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WR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</si>
  <si>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25WR 845.3</t>
    </r>
  </si>
  <si>
    <t>9.7$5,1001.04x</t>
  </si>
  <si>
    <r>
      <t>Hayden Hurst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TE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</si>
  <si>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25.5TE 245.3</t>
    </r>
  </si>
  <si>
    <t>7.0$4,9001.08x</t>
  </si>
  <si>
    <r>
      <t>Mo Alie-Cox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TE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</si>
  <si>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27TE 255.3</t>
    </r>
  </si>
  <si>
    <t>7.2$4,8001.10x</t>
  </si>
  <si>
    <r>
      <t>Rachaad White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RB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</si>
  <si>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26RB 505.3</t>
    </r>
  </si>
  <si>
    <t>5.3$5,0001.05x</t>
  </si>
  <si>
    <r>
      <t>Cedrick Wilson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WR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</si>
  <si>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25WR 855.2</t>
    </r>
  </si>
  <si>
    <t>9.1$5,1001.03x</t>
  </si>
  <si>
    <r>
      <t>David Bell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WR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</si>
  <si>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19.5WR 865.2</t>
    </r>
  </si>
  <si>
    <t>5.2$5,0001.04x</t>
  </si>
  <si>
    <r>
      <t>Tyler Allgeier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RB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</si>
  <si>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18.5RB 515.2</t>
    </r>
  </si>
  <si>
    <t>5.2$4,8001.09x</t>
  </si>
  <si>
    <r>
      <t>Brevin Jordan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TE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</si>
  <si>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19TE 265.1</t>
    </r>
  </si>
  <si>
    <t>9.2$4,8001.07x</t>
  </si>
  <si>
    <r>
      <t>Houston Texans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DEF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</si>
  <si>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19DEF 325.1</t>
    </r>
  </si>
  <si>
    <t>9.4$3,3001.56x</t>
  </si>
  <si>
    <r>
      <t>Devin Duvernay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WR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</si>
  <si>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26WR 875.1</t>
    </r>
  </si>
  <si>
    <t>6.3$5,0001.02x</t>
  </si>
  <si>
    <r>
      <t>Kenyan Drake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RB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</si>
  <si>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26RB 524.9</t>
    </r>
  </si>
  <si>
    <t>9.6$5,7000.86x</t>
  </si>
  <si>
    <r>
      <t>Nick Westbrook-Ikhine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WR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</si>
  <si>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24.5WR 884.8</t>
    </r>
  </si>
  <si>
    <t>6.7$5,1000.94x</t>
  </si>
  <si>
    <r>
      <t>Braxton Berrios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WR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</si>
  <si>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19WR 894.8</t>
    </r>
  </si>
  <si>
    <t>7.6$4,7001.02x</t>
  </si>
  <si>
    <r>
      <t>Laviska Shenault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WR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</si>
  <si>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22WR 904.8</t>
    </r>
  </si>
  <si>
    <t>6.5$5,0000.96x</t>
  </si>
  <si>
    <r>
      <t>Cameron Brate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TE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</si>
  <si>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26TE 274.7</t>
    </r>
  </si>
  <si>
    <t>6.6$4,9000.95x</t>
  </si>
  <si>
    <r>
      <t>Sterling Shepard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WR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</si>
  <si>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19WR 914.7</t>
    </r>
  </si>
  <si>
    <t>8.1$5,5000.85x</t>
  </si>
  <si>
    <r>
      <t>Byron Pringle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WR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</si>
  <si>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17WR 924.6</t>
    </r>
  </si>
  <si>
    <t>8.7$5,3000.87x</t>
  </si>
  <si>
    <r>
      <t>Logan Thomas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TE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</si>
  <si>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23.5TE 284.6</t>
    </r>
  </si>
  <si>
    <t>7.0$5,5000.84x</t>
  </si>
  <si>
    <r>
      <t>Damien Williams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RB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</si>
  <si>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18.5RB 534.5</t>
    </r>
  </si>
  <si>
    <t>8.1$5,3000.85x</t>
  </si>
  <si>
    <r>
      <t>C.J. Uzomah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TE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</si>
  <si>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19TE 294.5</t>
    </r>
  </si>
  <si>
    <t>7.7$4,8000.94x</t>
  </si>
  <si>
    <r>
      <t>Bryan Edwards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WR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</si>
  <si>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18.5WR 934.4</t>
    </r>
  </si>
  <si>
    <t>6.0$5,1000.86x</t>
  </si>
  <si>
    <r>
      <t>Nelson Agholor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WR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</si>
  <si>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22WR 944.4</t>
    </r>
  </si>
  <si>
    <t>8.3$4,9000.89x</t>
  </si>
  <si>
    <r>
      <t>Mike Davis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RB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</si>
  <si>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26RB 544.3</t>
    </r>
  </si>
  <si>
    <t>7.3$5,6000.77x</t>
  </si>
  <si>
    <r>
      <t>Terrace Marshall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WR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</si>
  <si>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22WR 954.3</t>
    </r>
  </si>
  <si>
    <t>4.3$5,0000.86x</t>
  </si>
  <si>
    <r>
      <t>Marquez Callaway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WR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</si>
  <si>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24WR 964.3</t>
    </r>
  </si>
  <si>
    <t>7.0$4,9000.87x</t>
  </si>
  <si>
    <r>
      <t>Zamir White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RB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</si>
  <si>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24.5RB 554.2</t>
    </r>
  </si>
  <si>
    <t>4.2$4,9000.87x</t>
  </si>
  <si>
    <r>
      <t>Darius Slayton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WR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</si>
  <si>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19WR 974.2</t>
    </r>
  </si>
  <si>
    <t>7.9$5,1000.83x</t>
  </si>
  <si>
    <r>
      <t>Jeff Wilson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RB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</si>
  <si>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24RB 564.1</t>
    </r>
  </si>
  <si>
    <t>9.4$5,5000.74x</t>
  </si>
  <si>
    <r>
      <t>Rex Burkhead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RB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</si>
  <si>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19RB 574.0</t>
    </r>
  </si>
  <si>
    <t>8.1$5,1000.79x</t>
  </si>
  <si>
    <r>
      <t>Josh Reynolds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WR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</si>
  <si>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22.5WR 984.0</t>
    </r>
  </si>
  <si>
    <t>7.3$5,1000.78x</t>
  </si>
  <si>
    <r>
      <t>Kyle Philips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WR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</si>
  <si>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24.5WR 993.9</t>
    </r>
  </si>
  <si>
    <t>3.9$4,6000.84x</t>
  </si>
  <si>
    <r>
      <t>Jonnu Smith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TE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</si>
  <si>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22TE 303.8</t>
    </r>
  </si>
  <si>
    <t>6.1$4,7000.81x</t>
  </si>
  <si>
    <r>
      <t>Velus Jones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WR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</si>
  <si>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17WR 1003.8</t>
    </r>
  </si>
  <si>
    <t>3.8$4,6000.83x</t>
  </si>
  <si>
    <r>
      <t>Boston Scott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RB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</si>
  <si>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26.5RB 583.8</t>
    </r>
  </si>
  <si>
    <t>8.9$4,9000.77x</t>
  </si>
  <si>
    <r>
      <t>Samaje Perine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RB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</si>
  <si>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25.5RB 593.8</t>
    </r>
  </si>
  <si>
    <t>6.6$5,3000.71x</t>
  </si>
  <si>
    <r>
      <t>Jalen Guyton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WR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</si>
  <si>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28WR 1013.7</t>
    </r>
  </si>
  <si>
    <t>6.8$4,8000.78x</t>
  </si>
  <si>
    <r>
      <t>Tyler Conklin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TE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</si>
  <si>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19TE 313.7</t>
    </r>
  </si>
  <si>
    <t>5.3$5,0000.74x</t>
  </si>
  <si>
    <r>
      <t>Ronald Jones II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RB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</si>
  <si>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29RB 603.7</t>
    </r>
  </si>
  <si>
    <t>6.3$5,5000.67x</t>
  </si>
  <si>
    <r>
      <t>Dan Arnold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TE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</si>
  <si>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20.5TE 323.6</t>
    </r>
  </si>
  <si>
    <t>6.7$4,4000.82x</t>
  </si>
  <si>
    <r>
      <t>Ameer Abdullah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RB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</si>
  <si>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24.5RB 613.6</t>
    </r>
  </si>
  <si>
    <t>4.9$4,5000.79x</t>
  </si>
  <si>
    <r>
      <t>Quintez Cephus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WR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</si>
  <si>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22.5WR 1023.6</t>
    </r>
  </si>
  <si>
    <t>7.0$4,8000.74x</t>
  </si>
  <si>
    <r>
      <t>Tre'Quan Smith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WR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</si>
  <si>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24WR 1033.5</t>
    </r>
  </si>
  <si>
    <t>7.0$4,7000.75x</t>
  </si>
  <si>
    <r>
      <t>Michael Gallup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WR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</si>
  <si>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24.5WR 1043.5</t>
    </r>
  </si>
  <si>
    <t>7.3$5,8000.61x</t>
  </si>
  <si>
    <r>
      <t>Darrel Williams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RB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</si>
  <si>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25RB 623.5</t>
    </r>
  </si>
  <si>
    <t>6.6$5,4000.65x</t>
  </si>
  <si>
    <r>
      <t>Jerick McKinnon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RB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</si>
  <si>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29RB 633.4</t>
    </r>
  </si>
  <si>
    <t>5.0$5,2000.65x</t>
  </si>
  <si>
    <r>
      <t>Quez Watkins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WR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</si>
  <si>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26.5WR 1053.4</t>
    </r>
  </si>
  <si>
    <t>5.3$5,2000.65x</t>
  </si>
  <si>
    <r>
      <t>Adam Trautman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TE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</si>
  <si>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24TE 333.4</t>
    </r>
  </si>
  <si>
    <t>4.8$4,7000.71x</t>
  </si>
  <si>
    <r>
      <t>Amari Rodgers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WR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</si>
  <si>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25WR 1063.4</t>
    </r>
  </si>
  <si>
    <t>3.4$4,6000.73x</t>
  </si>
  <si>
    <r>
      <t>Trey McBride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TE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</si>
  <si>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25TE 343.3</t>
    </r>
  </si>
  <si>
    <t>3.3$4,2000.80x</t>
  </si>
  <si>
    <r>
      <t>Harrison Bryant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TE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</si>
  <si>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19.5TE 353.3</t>
    </r>
  </si>
  <si>
    <t>5.7$4,6000.73x</t>
  </si>
  <si>
    <r>
      <t>Isaiah Likely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TE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</si>
  <si>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26TE 363.3</t>
    </r>
  </si>
  <si>
    <t>3.3$4,1000.81x</t>
  </si>
  <si>
    <r>
      <t>Khalil Shakir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WR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</si>
  <si>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27.5WR 1073.2</t>
    </r>
  </si>
  <si>
    <t>3.2$4,6000.70x</t>
  </si>
  <si>
    <r>
      <t>Olamide Zaccheaus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WR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</si>
  <si>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18.5WR 1083.2</t>
    </r>
  </si>
  <si>
    <t>6.3$5,0000.64x</t>
  </si>
  <si>
    <r>
      <t>Jalen Reagor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WR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</si>
  <si>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23.5WR 1093.2</t>
    </r>
  </si>
  <si>
    <t>3.2$4,8000.66x</t>
  </si>
  <si>
    <r>
      <t>Daniel Bellinger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TE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</si>
  <si>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19TE 373.2</t>
    </r>
  </si>
  <si>
    <t>3.2$4,1000.77x</t>
  </si>
  <si>
    <r>
      <t>Noah Brown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WR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</si>
  <si>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24.5WR 1103.0</t>
    </r>
  </si>
  <si>
    <t>4.3$4,8000.63x</t>
  </si>
  <si>
    <t>Josh Allen BUF - QB@LAR Thu 8:20PM--2.552.527.5QB 223.6</t>
  </si>
  <si>
    <t>Jonathan Taylor IND - RB@HOU Sun 1:00PM--84627RB 123.2</t>
  </si>
  <si>
    <t>Justin Herbert LAC - QBLV Sun 4:25PM--3.552.528QB 323.1</t>
  </si>
  <si>
    <t>Jalen Hurts PHI - QB@DET Sun 1:00PM--448.526.5QB 422.6</t>
  </si>
  <si>
    <t>Patrick Mahomes II KC - QB@ARI Sun 4:25PM--4.553.529QB 522.2</t>
  </si>
  <si>
    <t>Kyler Murray ARI - QBKC Sun 4:25PM-453.525QB 622.1</t>
  </si>
  <si>
    <t>Russell Wilson DEN - QB@SEA Mon 8:15PM--6.54325QB 720.8</t>
  </si>
  <si>
    <t>Christian McCaffrey CAR - RBCLE Sun 1:00PM--2.541.522RB 220.8</t>
  </si>
  <si>
    <t>Tom Brady TB - QB@DAL Sun 8:20PM--1.55026QB 819.9</t>
  </si>
  <si>
    <t>Joe Burrow CIN - QBPIT Sun 1:00PM--6.544.525.5QB 919.9</t>
  </si>
  <si>
    <t>Trey Lance SF - QB@CHI Sun 1:00PM--74124QB 1019.7</t>
  </si>
  <si>
    <t>Aaron Rodgers GB - QB@MIN Sun 4:25PM--1.54825QB 1119.6</t>
  </si>
  <si>
    <t>Dak Prescott DAL - QBTB Sun 8:20PM-1.55024.5QB 1219.1</t>
  </si>
  <si>
    <t>Derek Carr LV - QB@LAC Sun 4:25PM-3.552.524.5QB 1318.7</t>
  </si>
  <si>
    <t>Matthew Stafford LAR - QBBUF Thu 8:20PM-2.552.525QB 1418.5</t>
  </si>
  <si>
    <t>Kirk Cousins MIN - QBGB Sun 4:25PM-1.54823.5QB 1518.2</t>
  </si>
  <si>
    <t>Jameis Winston NO - QB@ATL Sun 1:00PM--5.542.524QB 1618.2</t>
  </si>
  <si>
    <t>Matt Ryan IND - QB@HOU Sun 1:00PM--84627QB 1718.0</t>
  </si>
  <si>
    <t>Derrick Henry TEN - RBNYG Sun 4:25PM--5.543.524.5RB 318.0</t>
  </si>
  <si>
    <t>Trevor Lawrence JAC - QB@WAS Sun 1:00PM-343.520.5QB 1818.0</t>
  </si>
  <si>
    <t>Austin Ekeler LAC - RBLV Sun 4:25PM--3.552.528RB 417.7</t>
  </si>
  <si>
    <t>Justin Jefferson MIN - WRGB Sun 4:25PM-1.54823.5WR 117.5</t>
  </si>
  <si>
    <t>Tua Tagovailoa MIA - QBNE Sun 1:00PM--346.525QB 1917.5</t>
  </si>
  <si>
    <t>Justin Fields CHI - QBSF Sun 1:00PM-74117QB 2017.5</t>
  </si>
  <si>
    <t>Ryan Tannehill TEN - QBNYG Sun 4:25PM--5.543.524.5QB 2117.4</t>
  </si>
  <si>
    <t>Carson Wentz WAS - QBJAC Sun 1:00PM--343.523.5QB 2217.0</t>
  </si>
  <si>
    <t>Daniel Jones NYG - QB@TEN Sun 4:25PM-5.543.519QB 2317.0</t>
  </si>
  <si>
    <t>Jared Goff DET - QBPHI Sun 1:00PM-448.522.5QB 2416.9</t>
  </si>
  <si>
    <t>Mac Jones NE - QB@MIA Sun 1:00PM-346.522QB 2516.3</t>
  </si>
  <si>
    <t>Baker Mayfield CAR - QBCLE Sun 1:00PM--2.541.522QB 2616.3</t>
  </si>
  <si>
    <t>Joe Mixon CIN - RBPIT Sun 1:00PM--6.544.525.5RB 516.3</t>
  </si>
  <si>
    <t>Dalvin Cook MIN - RBGB Sun 4:25PM-1.54823.5RB 616.3</t>
  </si>
  <si>
    <t>Davis Mills HOU - QBIND Sun 1:00PM-84619QB 2715.9</t>
  </si>
  <si>
    <t>Marcus Mariota ATL - QBNO Sun 1:00PM-5.542.518.5QB 2815.8</t>
  </si>
  <si>
    <t>Cooper Kupp LAR - WRBUF Thu 8:20PM-2.552.525WR 215.6</t>
  </si>
  <si>
    <t>Mitch Trubisky PIT - QB@CIN Sun 1:00PM-6.544.519QB 2915.5</t>
  </si>
  <si>
    <t>Ja'Marr Chase CIN - WRPIT Sun 1:00PM--6.544.525.5WR 315.1</t>
  </si>
  <si>
    <t>Alvin Kamara NO - RB@ATL Sun 1:00PM--5.542.524RB 715.1</t>
  </si>
  <si>
    <t>Najee Harris PIT - RB@CIN Sun 1:00PM-6.544.519RB 815.1</t>
  </si>
  <si>
    <t>Jacoby Brissett CLE - QB@CAR Sun 1:00PM-2.541.519.5QB 3015.1</t>
  </si>
  <si>
    <t>Davante Adams LV - WR@LAC Sun 4:25PM-3.552.524.5WR 414.8</t>
  </si>
  <si>
    <t>Geno Smith SEA - QBDEN Mon 8:15PM-6.54318.5QB 3114.4</t>
  </si>
  <si>
    <t>Stefon Diggs BUF - WR@LAR Thu 8:20PM--2.552.527.5WR 514.3</t>
  </si>
  <si>
    <t>D'Andre Swift DET - RBPHI Sun 1:00PM-448.522.5RB 914.3</t>
  </si>
  <si>
    <t>Aaron Jones GB - RB@MIN Sun 4:25PM--1.54825RB 1014.0</t>
  </si>
  <si>
    <t>Nick Chubb CLE - RB@CAR Sun 1:00PM-2.541.519.5RB 1114.0</t>
  </si>
  <si>
    <t>Saquon Barkley NYG - RB@TEN Sun 4:25PM-5.543.519RB 1213.9</t>
  </si>
  <si>
    <t>CeeDee Lamb DAL - WRTB Sun 8:20PM-1.55024.5WR 613.8</t>
  </si>
  <si>
    <t>Javonte Williams DEN - RB@SEA Mon 8:15PM--6.54325RB 1313.8</t>
  </si>
  <si>
    <t>Leonard Fournette TB - RB@DAL Sun 8:20PM--1.55026RB 1413.7</t>
  </si>
  <si>
    <t>James Conner ARI - RBKC Sun 4:25PM-453.525RB 1513.6</t>
  </si>
  <si>
    <t>Mark Andrews BAL - TE@NYJ Sun 1:00PM--744.526TE 113.5</t>
  </si>
  <si>
    <t>Joe Flacco NYJ - QBBAL Sun 1:00PM-744.519QB 3213.5</t>
  </si>
  <si>
    <t>Michael Pittman Jr. IND - WR@HOU Sun 1:00PM--84627WR 713.4</t>
  </si>
  <si>
    <t>Travis Kelce KC - TE@ARI Sun 4:25PM--4.553.529TE 213.4</t>
  </si>
  <si>
    <t>Deebo Samuel SF - WR@CHI Sun 1:00PM--74124WR 813.1</t>
  </si>
  <si>
    <t>Antonio Gibson WAS - RBJAC Sun 1:00PM--343.523.5RB 1613.1</t>
  </si>
  <si>
    <t>Mike Evans TB - WR@DAL Sun 8:20PM--1.55026WR 912.9</t>
  </si>
  <si>
    <t>A.J. Brown PHI - WR@DET Sun 1:00PM--448.526.5WR 1012.6</t>
  </si>
  <si>
    <t>Ezekiel Elliott DAL - RBTB Sun 8:20PM-1.55024.5RB 1712.5</t>
  </si>
  <si>
    <t>Tyreek Hill MIA - WRNE Sun 1:00PM--346.525WR 1112.3</t>
  </si>
  <si>
    <t>Keenan Allen LAC - WRLV Sun 4:25PM--3.552.528WR 1212.2</t>
  </si>
  <si>
    <t>Josh Jacobs LV - RB@LAC Sun 4:25PM-3.552.524.5RB 1812.1</t>
  </si>
  <si>
    <t>Travis Etienne Jr. JAC - RB@WAS Sun 1:00PM-343.520.5RB 1911.9</t>
  </si>
  <si>
    <t>Courtland Sutton DEN - WR@SEA Mon 8:15PM--6.54325WR 1311.9</t>
  </si>
  <si>
    <t>Tee Higgins CIN - WRPIT Sun 1:00PM--6.544.525.5WR 1411.9</t>
  </si>
  <si>
    <t>DJ Moore CAR - WRCLE Sun 1:00PM--2.541.522WR 1511.9</t>
  </si>
  <si>
    <t>David Montgomery CHI - RBSF Sun 1:00PM-74117RB 2011.8</t>
  </si>
  <si>
    <t>Diontae Johnson PIT - WR@CIN Sun 1:00PM-6.544.519WR 1611.8</t>
  </si>
  <si>
    <t>Elijah Mitchell SF - RB@CHI Sun 1:00PM--74124RB 2111.8</t>
  </si>
  <si>
    <t>AJ Dillon GB - RB@MIN Sun 4:25PM--1.54825RB 2211.6</t>
  </si>
  <si>
    <t>Cam Akers LAR - RBBUF Thu 8:20PM-2.552.525RB 2311.6</t>
  </si>
  <si>
    <t>Marquise Brown ARI - WRKC Sun 4:25PM-453.525WR 1711.6</t>
  </si>
  <si>
    <t>Mike Williams LAC - WRLV Sun 4:25PM--3.552.528WR 1811.4</t>
  </si>
  <si>
    <t>Brandin Cooks HOU - WRIND Sun 1:00PM-84619WR 1911.4</t>
  </si>
  <si>
    <t>Terry McLaurin WAS - WRJAC Sun 1:00PM--343.523.5WR 2011.4</t>
  </si>
  <si>
    <t>Chase Edmonds MIA - RBNE Sun 1:00PM--346.525RB 2411.3</t>
  </si>
  <si>
    <t>Jaylen Waddle MIA - WRNE Sun 1:00PM--346.525WR 2111.1</t>
  </si>
  <si>
    <t>Rashod Bateman BAL - WR@NYJ Sun 1:00PM--744.526WR 2211.1</t>
  </si>
  <si>
    <t>DK Metcalf SEA - WRDEN Mon 8:15PM-6.54318.5WR 2311.1</t>
  </si>
  <si>
    <t>Darnell Mooney CHI - WRSF Sun 1:00PM-74117WR 2410.9</t>
  </si>
  <si>
    <t>Rashaad Penny SEA - RBDEN Mon 8:15PM-6.54318.5RB 2510.9</t>
  </si>
  <si>
    <t>Michael Thomas NO - WR@ATL Sun 1:00PM--5.542.524WR 2510.8</t>
  </si>
  <si>
    <t>Allen Robinson II LAR - WRBUF Thu 8:20PM-2.552.525WR 2610.7</t>
  </si>
  <si>
    <t>Jerry Jeudy DEN - WR@SEA Mon 8:15PM--6.54325WR 2710.7</t>
  </si>
  <si>
    <t>Gabriel Davis BUF - WR@LAR Thu 8:20PM--2.552.527.5WR 2810.5</t>
  </si>
  <si>
    <t>Amon-Ra St. Brown DET - WRPHI Sun 1:00PM-448.522.5WR 2910.5</t>
  </si>
  <si>
    <t>JuJu Smith-Schuster KC - WR@ARI Sun 4:25PM--4.553.529WR 3010.4</t>
  </si>
  <si>
    <t>Damien Harris NE - RB@MIA Sun 1:00PM-346.522RB 2610.4</t>
  </si>
  <si>
    <t>Breece Hall NYJ - RBBAL Sun 1:00PM-744.519RB 2710.4</t>
  </si>
  <si>
    <t>Clyde Edwards-Helaire KC - RB@ARI Sun 4:25PM--4.553.529RB 2810.3</t>
  </si>
  <si>
    <t>Dameon Pierce HOU - RBIND Sun 1:00PM-84619RB 2910.3</t>
  </si>
  <si>
    <t>Miles Sanders PHI - RB@DET Sun 1:00PM--448.526.5RB 3010.3</t>
  </si>
  <si>
    <t>Elijah Moore NYJ - WRBAL Sun 1:00PM-744.519WR 3110.1</t>
  </si>
  <si>
    <t>Adam Thielen MIN - WRGB Sun 4:25PM-1.54823.5WR 3210.0</t>
  </si>
  <si>
    <t>Amari Cooper CLE - WR@CAR Sun 1:00PM-2.541.519.5WR 3310.0</t>
  </si>
  <si>
    <t>Allen Lazard GB - WR@MIN Sun 4:25PM--1.54825WR 3410.0</t>
  </si>
  <si>
    <t>Christian Kirk JAC - WR@WAS Sun 1:00PM-343.520.5WR 3510.0</t>
  </si>
  <si>
    <t>Kareem Hunt CLE - RB@CAR Sun 1:00PM-2.541.519.5RB 319.9</t>
  </si>
  <si>
    <t>Rhamondre Stevenson NE - RB@MIA Sun 1:00PM-346.522RB 329.9</t>
  </si>
  <si>
    <t>DeVonta Smith PHI - WR@DET Sun 1:00PM--448.526.5WR 369.8</t>
  </si>
  <si>
    <t>Kyle Pitts ATL - TENO Sun 1:00PM-5.542.518.5TE 39.7</t>
  </si>
  <si>
    <t>Cordarrelle Patterson ATL - RBNO Sun 1:00PM-5.542.518.5RB 339.6</t>
  </si>
  <si>
    <t>Tony Pollard DAL - RBTB Sun 8:20PM-1.55024.5RB 349.6</t>
  </si>
  <si>
    <t>Hunter Renfrow LV - WR@LAC Sun 4:25PM-3.552.524.5WR 379.4</t>
  </si>
  <si>
    <t>Brandon Aiyuk SF - WR@CHI Sun 1:00PM--74124WR 389.3</t>
  </si>
  <si>
    <t>George Kittle SF - TE@CHI Sun 1:00PM--74124TE 49.3</t>
  </si>
  <si>
    <t>Tyler Lockett SEA - WRDEN Mon 8:15PM-6.54318.5WR 399.3</t>
  </si>
  <si>
    <t>Robert Woods TEN - WRNYG Sun 4:25PM--5.543.524.5WR 409.2</t>
  </si>
  <si>
    <t>Drake London ATL - WRNO Sun 1:00PM-5.542.518.5WR 419.1</t>
  </si>
  <si>
    <t>Dalton Schultz DAL - TETB Sun 8:20PM-1.55024.5TE 59.0</t>
  </si>
  <si>
    <t>Chris Godwin TB - WR@DAL Sun 8:20PM--1.55026WR 429.0</t>
  </si>
  <si>
    <t>Kadarius Toney NYG - WR@TEN Sun 4:25PM-5.543.519WR 439.0</t>
  </si>
  <si>
    <t>Chris Olave NO - WR@ATL Sun 1:00PM--5.542.524WR 449.0</t>
  </si>
  <si>
    <t>Devin Singletary BUF - RB@LAR Thu 8:20PM--2.552.527.5RB 359.0</t>
  </si>
  <si>
    <t>Melvin Gordon III DEN - RB@SEA Mon 8:15PM--6.54325RB 368.9</t>
  </si>
  <si>
    <t>Chase Claypool PIT - WR@CIN Sun 1:00PM-6.544.519WR 458.9</t>
  </si>
  <si>
    <t>Darren Waller LV - TE@LAC Sun 4:25PM-3.552.524.5TE 68.8</t>
  </si>
  <si>
    <t>San Francisco 49ers SF - DEF@CHI Sun 1:00PM--74124DEF 18.6</t>
  </si>
  <si>
    <t>Dallas Goedert PHI - TE@DET Sun 1:00PM--448.526.5TE 78.6</t>
  </si>
  <si>
    <t>Zach Wilson NYJ - QBBAL Sun 1:00PM-744.519QB 338.5</t>
  </si>
  <si>
    <t>Tyler Boyd CIN - WRPIT Sun 1:00PM--6.544.525.5WR 468.5</t>
  </si>
  <si>
    <t>Marquez Valdes-Scantling KC - WR@ARI Sun 4:25PM--4.553.529WR 478.4</t>
  </si>
  <si>
    <t>Michael Carter NYJ - RBBAL Sun 1:00PM-744.519RB 378.4</t>
  </si>
  <si>
    <t>Jakobi Meyers NE - WR@MIA Sun 1:00PM-346.522WR 488.4</t>
  </si>
  <si>
    <t>Darrell Henderson Jr. LAR - RBBUF Thu 8:20PM-2.552.525RB 388.2</t>
  </si>
  <si>
    <t>Nyheim Hines IND - RB@HOU Sun 1:00PM--84627RB 398.1</t>
  </si>
  <si>
    <t>Jarvis Landry NO - WR@ATL Sun 1:00PM--5.542.524WR 498.1</t>
  </si>
  <si>
    <t>Denver Broncos DEN - DEF@SEA Mon 8:15PM--6.54325DEF 28.0</t>
  </si>
  <si>
    <t>DeVante Parker NE - WR@MIA Sun 1:00PM-346.522WR 508.0</t>
  </si>
  <si>
    <t>T.J. Hockenson DET - TEPHI Sun 1:00PM-448.522.5TE 88.0</t>
  </si>
  <si>
    <t>Rondale Moore ARI - WRKC Sun 4:25PM-453.525WR 518.0</t>
  </si>
  <si>
    <t>Zach Ertz ARI - TEKC Sun 4:25PM-453.525TE 97.7</t>
  </si>
  <si>
    <t>New Orleans Saints NO - DEF@ATL Sun 1:00PM--5.542.524DEF 37.7</t>
  </si>
  <si>
    <t>George Pickens PIT - WR@CIN Sun 1:00PM-6.544.519WR 527.6</t>
  </si>
  <si>
    <t>Jahan Dotson WAS - WRJAC Sun 1:00PM--343.523.5WR 537.6</t>
  </si>
  <si>
    <t>Treylon Burks TEN - WRNYG Sun 4:25PM--5.543.524.5WR 547.6</t>
  </si>
  <si>
    <t>Julio Jones TB - WR@DAL Sun 8:20PM--1.55026WR 557.5</t>
  </si>
  <si>
    <t>Garrett Wilson NYJ - WRBAL Sun 1:00PM-744.519WR 567.4</t>
  </si>
  <si>
    <t>James Cook BUF - RB@LAR Thu 8:20PM--2.552.527.5RB 407.4</t>
  </si>
  <si>
    <t>Baltimore Ravens BAL - DEF@NYJ Sun 1:00PM--744.526DEF 47.4</t>
  </si>
  <si>
    <t>Russell Gage TB - WR@DAL Sun 8:20PM--1.55026WR 577.4</t>
  </si>
  <si>
    <t>Indianapolis Colts IND - DEF@HOU Sun 1:00PM--84627DEF 57.4</t>
  </si>
  <si>
    <t>DJ Chark Jr. DET - WRPHI Sun 1:00PM-448.522.5WR 587.4</t>
  </si>
  <si>
    <t>Nico Collins HOU - WRIND Sun 1:00PM-84619WR 597.4</t>
  </si>
  <si>
    <t>Dawson Knox BUF - TE@LAR Thu 8:20PM--2.552.527.5TE 107.4</t>
  </si>
  <si>
    <t>Kenny Golladay NYG - WR@TEN Sun 4:25PM-5.543.519WR 607.3</t>
  </si>
  <si>
    <t>Cleveland Browns CLE - DEF@CAR Sun 1:00PM-2.541.519.5DEF 67.3</t>
  </si>
  <si>
    <t>Corey Davis NYJ - WRBAL Sun 1:00PM-744.519WR 617.1</t>
  </si>
  <si>
    <t>James Robinson JAC - RB@WAS Sun 1:00PM-343.520.5RB 417.1</t>
  </si>
  <si>
    <t>Isaiah McKenzie BUF - WR@LAR Thu 8:20PM--2.552.527.5WR 627.1</t>
  </si>
  <si>
    <t>Buffalo Bills BUF - DEF@LAR Thu 8:20PM--2.552.527.5DEF 77.1</t>
  </si>
  <si>
    <t>Mecole Hardman KC - WR@ARI Sun 4:25PM--4.553.529WR 637.1</t>
  </si>
  <si>
    <t>Skyy Moore KC - WR@ARI Sun 4:25PM--4.553.529WR 647.1</t>
  </si>
  <si>
    <t>Cincinnati Bengals CIN - DEFPIT Sun 1:00PM--6.544.525.5DEF 87.0</t>
  </si>
  <si>
    <t>Pat Freiermuth PIT - TE@CIN Sun 1:00PM-6.544.519TE 117.0</t>
  </si>
  <si>
    <t>Cole Kmet CHI - TESF Sun 1:00PM-74117TE 127.0</t>
  </si>
  <si>
    <t>Hunter Henry NE - TE@MIA Sun 1:00PM-346.522TE 137.0</t>
  </si>
  <si>
    <t>Marvin Jones Jr. JAC - WR@WAS Sun 1:00PM-343.520.5WR 656.9</t>
  </si>
  <si>
    <t>K.J. Osborn MIN - WRGB Sun 4:25PM-1.54823.5WR 666.9</t>
  </si>
  <si>
    <t>Albert Okwuegbunam DEN - TE@SEA Mon 8:15PM--6.54325TE 146.9</t>
  </si>
  <si>
    <t>Tennessee Titans TEN - DEFNYG Sun 4:25PM--5.543.524.5DEF 96.9</t>
  </si>
  <si>
    <t>Miami Dolphins MIA - DEFNE Sun 1:00PM--346.525DEF 106.8</t>
  </si>
  <si>
    <t>David Njoku CLE - TE@CAR Sun 1:00PM-2.541.519.5TE 156.8</t>
  </si>
  <si>
    <t>J.D. McKissic WAS - RBJAC Sun 1:00PM--343.523.5RB 426.8</t>
  </si>
  <si>
    <t>Irv Smith Jr. MIN - TEGB Sun 4:25PM-1.54823.5TE 166.8</t>
  </si>
  <si>
    <t>Robbie Anderson CAR - WRCLE Sun 1:00PM--2.541.522WR 676.8</t>
  </si>
  <si>
    <t>Jalen Tolbert DAL - WRTB Sun 8:20PM-1.55024.5WR 686.7</t>
  </si>
  <si>
    <t>Mike Gesicki MIA - TENE Sun 1:00PM--346.525TE 176.7</t>
  </si>
  <si>
    <t>Joshua Palmer LAC - WRLV Sun 4:25PM--3.552.528WR 696.6</t>
  </si>
  <si>
    <t>Gerald Everett LAC - TELV Sun 4:25PM--3.552.528TE 186.6</t>
  </si>
  <si>
    <t>Evan Engram JAC - TE@WAS Sun 1:00PM-343.520.5TE 196.6</t>
  </si>
  <si>
    <t>Van Jefferson LAR - WRBUF Thu 8:20PM-2.552.525WR 706.5</t>
  </si>
  <si>
    <t>Jamaal Williams DET - RBPHI Sun 1:00PM-448.522.5RB 436.5</t>
  </si>
  <si>
    <t>Kenneth Gainwell PHI - RB@DET Sun 1:00PM--448.526.5RB 446.5</t>
  </si>
  <si>
    <t>Austin Hooper TEN - TENYG Sun 4:25PM--5.543.524.5TE 206.4</t>
  </si>
  <si>
    <t>Curtis Samuel WAS - WRJAC Sun 1:00PM--343.523.5WR 716.4</t>
  </si>
  <si>
    <t>Tampa Bay Buccaneers TB - DEF@DAL Sun 8:20PM--1.55026DEF 116.4</t>
  </si>
  <si>
    <t>Raheem Mostert MIA - RBNE Sun 1:00PM--346.525RB 456.4</t>
  </si>
  <si>
    <t>Alec Pierce IND - WR@HOU Sun 1:00PM--84627WR 726.3</t>
  </si>
  <si>
    <t>Philadelphia Eagles PHI - DEF@DET Sun 1:00PM--448.526.5DEF 126.3</t>
  </si>
  <si>
    <t>A.J. Green ARI - WRKC Sun 4:25PM-453.525WR 736.3</t>
  </si>
  <si>
    <t>New England Patriots NE - DEF@MIA Sun 1:00PM-346.522DEF 136.2</t>
  </si>
  <si>
    <t>Donovan Peoples-Jones CLE - WR@CAR Sun 1:00PM-2.541.519.5WR 746.2</t>
  </si>
  <si>
    <t>Alexander Mattison MIN - RBGB Sun 4:25PM-1.54823.5RB 466.2</t>
  </si>
  <si>
    <t>Tyler Higbee LAR - TEBUF Thu 8:20PM-2.552.525TE 216.2</t>
  </si>
  <si>
    <t>Los Angeles Chargers LAC - DEFLV Sun 4:25PM--3.552.528DEF 146.2</t>
  </si>
  <si>
    <t>Green Bay Packers GB - DEF@MIN Sun 4:25PM--1.54825DEF 156.1</t>
  </si>
  <si>
    <t>Noah Fant SEA - TEDEN Mon 8:15PM-6.54318.5TE 226.0</t>
  </si>
  <si>
    <t>Parris Campbell IND - WR@HOU Sun 1:00PM--84627WR 756.0</t>
  </si>
  <si>
    <t>Kansas City Chiefs KC - DEF@ARI Sun 4:25PM--4.553.529DEF 166.0</t>
  </si>
  <si>
    <t>Zay Jones JAC - WR@WAS Sun 1:00PM-343.520.5WR 766.0</t>
  </si>
  <si>
    <t>Los Angeles Rams LAR - DEFBUF Thu 8:20PM-2.552.525DEF 176.0</t>
  </si>
  <si>
    <t>Pittsburgh Steelers PIT - DEF@CIN Sun 1:00PM-6.544.519DEF 186.0</t>
  </si>
  <si>
    <t>Mark Ingram II NO - RB@ATL Sun 1:00PM--5.542.524RB 476.0</t>
  </si>
  <si>
    <t>Sammy Watkins GB - WR@MIN Sun 4:25PM--1.54825WR 776.0</t>
  </si>
  <si>
    <t>Christian Watson GB - WR@MIN Sun 4:25PM--1.54825WR 785.9</t>
  </si>
  <si>
    <t>Wan'Dale Robinson NYG - WR@TEN Sun 4:25PM-5.543.519WR 795.9</t>
  </si>
  <si>
    <t>Carolina Panthers CAR - DEFCLE Sun 1:00PM--2.541.522DEF 195.9</t>
  </si>
  <si>
    <t>Washington Commanders WAS - DEFJAC Sun 1:00PM--343.523.5DEF 205.9</t>
  </si>
  <si>
    <t>Romeo Doubs GB - WR@MIN Sun 4:25PM--1.54825WR 805.9</t>
  </si>
  <si>
    <t>Dallas Cowboys DAL - DEFTB Sun 8:20PM-1.55024.5DEF 215.8</t>
  </si>
  <si>
    <t>Jacksonville Jaguars JAC - DEF@WAS Sun 1:00PM-343.520.5DEF 225.8</t>
  </si>
  <si>
    <t>Chicago Bears CHI - DEFSF Sun 1:00PM-74117DEF 235.8</t>
  </si>
  <si>
    <t>KJ Hamler DEN - WR@SEA Mon 8:15PM--6.54325WR 815.7</t>
  </si>
  <si>
    <t>Jamison Crowder BUF - WR@LAR Thu 8:20PM--2.552.527.5WR 825.6</t>
  </si>
  <si>
    <t>Kendrick Bourne NE - WR@MIA Sun 1:00PM-346.522WR 835.6</t>
  </si>
  <si>
    <t>Arizona Cardinals ARI - DEFKC Sun 4:25PM-453.525DEF 245.6</t>
  </si>
  <si>
    <t>J.K. Dobbins BAL - RB@NYJ Sun 1:00PM--744.526RB 485.6</t>
  </si>
  <si>
    <t>Khalil Herbert CHI - RBSF Sun 1:00PM-74117RB 495.6</t>
  </si>
  <si>
    <t>New York Giants NYG - DEF@TEN Sun 4:25PM-5.543.519DEF 255.6</t>
  </si>
  <si>
    <t>Robert Tonyan GB - TE@MIN Sun 4:25PM--1.54825TE 235.5</t>
  </si>
  <si>
    <t>Minnesota Vikings MIN - DEFGB Sun 4:25PM-1.54823.5DEF 265.5</t>
  </si>
  <si>
    <t>Seattle Seahawks SEA - DEFDEN Mon 8:15PM-6.54318.5DEF 275.5</t>
  </si>
  <si>
    <t>New York Jets NYJ - DEFBAL Sun 1:00PM-744.519DEF 285.5</t>
  </si>
  <si>
    <t>Atlanta Falcons ATL - DEFNO Sun 1:00PM-5.542.518.5DEF 295.5</t>
  </si>
  <si>
    <t>Las Vegas Raiders LV - DEF@LAC Sun 4:25PM-3.552.524.5DEF 305.4</t>
  </si>
  <si>
    <t>Detroit Lions DET - DEFPHI Sun 1:00PM-448.522.5DEF 315.4</t>
  </si>
  <si>
    <t>Randall Cobb GB - WR@MIN Sun 4:25PM--1.54825WR 845.3</t>
  </si>
  <si>
    <t>Hayden Hurst CIN - TEPIT Sun 1:00PM--6.544.525.5TE 245.3</t>
  </si>
  <si>
    <t>Mo Alie-Cox IND - TE@HOU Sun 1:00PM--84627TE 255.3</t>
  </si>
  <si>
    <t>Rachaad White TB - RB@DAL Sun 8:20PM--1.55026RB 505.3</t>
  </si>
  <si>
    <t>Cedrick Wilson Jr. MIA - WRNE Sun 1:00PM--346.525WR 855.2</t>
  </si>
  <si>
    <t>David Bell CLE - WR@CAR Sun 1:00PM-2.541.519.5WR 865.2</t>
  </si>
  <si>
    <t>Tyler Allgeier ATL - RBNO Sun 1:00PM-5.542.518.5RB 515.2</t>
  </si>
  <si>
    <t>Brevin Jordan HOU - TEIND Sun 1:00PM-84619TE 265.1</t>
  </si>
  <si>
    <t>Houston Texans HOU - DEFIND Sun 1:00PM-84619DEF 325.1</t>
  </si>
  <si>
    <t>Devin Duvernay BAL - WR@NYJ Sun 1:00PM--744.526WR 875.1</t>
  </si>
  <si>
    <t>Kenyan Drake BAL - RB@NYJ Sun 1:00PM--744.526RB 524.9</t>
  </si>
  <si>
    <t>Nick Westbrook-Ikhine TEN - WRNYG Sun 4:25PM--5.543.524.5WR 884.8</t>
  </si>
  <si>
    <t>Braxton Berrios NYJ - WRBAL Sun 1:00PM-744.519WR 894.8</t>
  </si>
  <si>
    <t>Laviska Shenault Jr. CAR - WRCLE Sun 1:00PM--2.541.522WR 904.8</t>
  </si>
  <si>
    <t>Cameron Brate TB - TE@DAL Sun 8:20PM--1.55026TE 274.7</t>
  </si>
  <si>
    <t>Sterling Shepard NYG - WR@TEN Sun 4:25PM-5.543.519WR 914.7</t>
  </si>
  <si>
    <t>Byron Pringle CHI - WRSF Sun 1:00PM-74117WR 924.6</t>
  </si>
  <si>
    <t>Logan Thomas WAS - TEJAC Sun 1:00PM--343.523.5TE 284.6</t>
  </si>
  <si>
    <t>Damien Williams ATL - RBNO Sun 1:00PM-5.542.518.5RB 534.5</t>
  </si>
  <si>
    <t>C.J. Uzomah NYJ - TEBAL Sun 1:00PM-744.519TE 294.5</t>
  </si>
  <si>
    <t>Bryan Edwards ATL - WRNO Sun 1:00PM-5.542.518.5WR 934.4</t>
  </si>
  <si>
    <t>Nelson Agholor NE - WR@MIA Sun 1:00PM-346.522WR 944.4</t>
  </si>
  <si>
    <t>Mike Davis BAL - RB@NYJ Sun 1:00PM--744.526RB 544.3</t>
  </si>
  <si>
    <t>Terrace Marshall Jr. CAR - WRCLE Sun 1:00PM--2.541.522WR 954.3</t>
  </si>
  <si>
    <t>Marquez Callaway NO - WR@ATL Sun 1:00PM--5.542.524WR 964.3</t>
  </si>
  <si>
    <t>Zamir White LV - RB@LAC Sun 4:25PM-3.552.524.5RB 554.2</t>
  </si>
  <si>
    <t>Darius Slayton NYG - WR@TEN Sun 4:25PM-5.543.519WR 974.2</t>
  </si>
  <si>
    <t>Jeff Wilson Jr. SF - RB@CHI Sun 1:00PM--74124RB 564.1</t>
  </si>
  <si>
    <t>Rex Burkhead HOU - RBIND Sun 1:00PM-84619RB 574.0</t>
  </si>
  <si>
    <t>Josh Reynolds DET - WRPHI Sun 1:00PM-448.522.5WR 984.0</t>
  </si>
  <si>
    <t>Kyle Philips TEN - WRNYG Sun 4:25PM--5.543.524.5WR 993.9</t>
  </si>
  <si>
    <t>Jonnu Smith NE - TE@MIA Sun 1:00PM-346.522TE 303.8</t>
  </si>
  <si>
    <t>Velus Jones Jr. CHI - WRSF Sun 1:00PM-74117WR 1003.8</t>
  </si>
  <si>
    <t>Boston Scott PHI - RB@DET Sun 1:00PM--448.526.5RB 583.8</t>
  </si>
  <si>
    <t>Samaje Perine CIN - RBPIT Sun 1:00PM--6.544.525.5RB 593.8</t>
  </si>
  <si>
    <t>Jalen Guyton LAC - WRLV Sun 4:25PM--3.552.528WR 1013.7</t>
  </si>
  <si>
    <t>Tyler Conklin NYJ - TEBAL Sun 1:00PM-744.519TE 313.7</t>
  </si>
  <si>
    <t>Ronald Jones II KC - RB@ARI Sun 4:25PM--4.553.529RB 603.7</t>
  </si>
  <si>
    <t>Dan Arnold JAC - TE@WAS Sun 1:00PM-343.520.5TE 323.6</t>
  </si>
  <si>
    <t>Ameer Abdullah LV - RB@LAC Sun 4:25PM-3.552.524.5RB 613.6</t>
  </si>
  <si>
    <t>Quintez Cephus DET - WRPHI Sun 1:00PM-448.522.5WR 1023.6</t>
  </si>
  <si>
    <t>Tre'Quan Smith NO - WR@ATL Sun 1:00PM--5.542.524WR 1033.5</t>
  </si>
  <si>
    <t>Michael Gallup DAL - WRTB Sun 8:20PM-1.55024.5WR 1043.5</t>
  </si>
  <si>
    <t>Darrel Williams ARI - RBKC Sun 4:25PM-453.525RB 623.5</t>
  </si>
  <si>
    <t>Jerick McKinnon KC - RB@ARI Sun 4:25PM--4.553.529RB 633.4</t>
  </si>
  <si>
    <t>Quez Watkins PHI - WR@DET Sun 1:00PM--448.526.5WR 1053.4</t>
  </si>
  <si>
    <t>Adam Trautman NO - TE@ATL Sun 1:00PM--5.542.524TE 333.4</t>
  </si>
  <si>
    <t>Amari Rodgers GB - WR@MIN Sun 4:25PM--1.54825WR 1063.4</t>
  </si>
  <si>
    <t>Trey McBride ARI - TEKC Sun 4:25PM-453.525TE 343.3</t>
  </si>
  <si>
    <t>Harrison Bryant CLE - TE@CAR Sun 1:00PM-2.541.519.5TE 353.3</t>
  </si>
  <si>
    <t>Isaiah Likely BAL - TE@NYJ Sun 1:00PM--744.526TE 363.3</t>
  </si>
  <si>
    <t>Khalil Shakir BUF - WR@LAR Thu 8:20PM--2.552.527.5WR 1073.2</t>
  </si>
  <si>
    <t>Olamide Zaccheaus ATL - WRNO Sun 1:00PM-5.542.518.5WR 1083.2</t>
  </si>
  <si>
    <t>Jalen Reagor MIN - WRGB Sun 4:25PM-1.54823.5WR 1093.2</t>
  </si>
  <si>
    <t>Daniel Bellinger NYG - TE@TEN Sun 4:25PM-5.543.519TE 373.2</t>
  </si>
  <si>
    <t>Noah Brown DAL - WRTB Sun 8:20PM-1.55024.5WR 1103.0</t>
  </si>
  <si>
    <t>CEIL.SALARYVALUEMIN. EXPMAX. EXPLamar Jackson BAL - QB@NYJ Sun 1:00PM--744.526QB 124.2</t>
  </si>
  <si>
    <t>Lamar Jackson BAL - QB@NYJ Sun 1:00PM--744.526QB 124.2</t>
  </si>
  <si>
    <t>Lamar Jackson </t>
  </si>
  <si>
    <t>QB</t>
  </si>
  <si>
    <t>QB 1</t>
  </si>
  <si>
    <t>24.2</t>
  </si>
  <si>
    <t>Josh Allen </t>
  </si>
  <si>
    <t>QB 2</t>
  </si>
  <si>
    <t>23.6</t>
  </si>
  <si>
    <t>Jonathan Taylor </t>
  </si>
  <si>
    <t>RB</t>
  </si>
  <si>
    <t>RB 1</t>
  </si>
  <si>
    <t>23.2</t>
  </si>
  <si>
    <t>Justin Herbert </t>
  </si>
  <si>
    <t>QB 3</t>
  </si>
  <si>
    <t>23.1</t>
  </si>
  <si>
    <t>Jalen Hurts </t>
  </si>
  <si>
    <t>QB 4</t>
  </si>
  <si>
    <t>22.6</t>
  </si>
  <si>
    <t>Patrick Mahomes II</t>
  </si>
  <si>
    <t>QB 5</t>
  </si>
  <si>
    <t>22.2</t>
  </si>
  <si>
    <t>Kyler Murray </t>
  </si>
  <si>
    <t>QB 6</t>
  </si>
  <si>
    <t>22.1</t>
  </si>
  <si>
    <t>Russell Wilson </t>
  </si>
  <si>
    <t>QB 7</t>
  </si>
  <si>
    <t>20.8</t>
  </si>
  <si>
    <t>Christian McCaffrey </t>
  </si>
  <si>
    <t>RB 2</t>
  </si>
  <si>
    <t>Tom Brady</t>
  </si>
  <si>
    <t>QB 8</t>
  </si>
  <si>
    <t>19.9</t>
  </si>
  <si>
    <t>Joe Burrow </t>
  </si>
  <si>
    <t>QB 9</t>
  </si>
  <si>
    <t>Trey Lance</t>
  </si>
  <si>
    <t>QB 10</t>
  </si>
  <si>
    <t>19.7</t>
  </si>
  <si>
    <t>Aaron Rodgers</t>
  </si>
  <si>
    <t>QB 11</t>
  </si>
  <si>
    <t>19.6</t>
  </si>
  <si>
    <t>Dak Prescott </t>
  </si>
  <si>
    <t>QB 12</t>
  </si>
  <si>
    <t>19.1</t>
  </si>
  <si>
    <t>Derek Carr</t>
  </si>
  <si>
    <t>QB 13</t>
  </si>
  <si>
    <t>18.7</t>
  </si>
  <si>
    <t>Matthew Stafford </t>
  </si>
  <si>
    <t>QB 14</t>
  </si>
  <si>
    <t>18.5</t>
  </si>
  <si>
    <t>Kirk Cousins </t>
  </si>
  <si>
    <t>QB 15</t>
  </si>
  <si>
    <t>18.2</t>
  </si>
  <si>
    <t>Jameis Winston</t>
  </si>
  <si>
    <t>QB 16</t>
  </si>
  <si>
    <t>Matt Ryan </t>
  </si>
  <si>
    <t>QB 17</t>
  </si>
  <si>
    <t>18.0</t>
  </si>
  <si>
    <t>Derrick Henry </t>
  </si>
  <si>
    <t>RB 3</t>
  </si>
  <si>
    <t>Trevor Lawrence </t>
  </si>
  <si>
    <t>QB 18</t>
  </si>
  <si>
    <t>Austin Ekeler </t>
  </si>
  <si>
    <t>RB 4</t>
  </si>
  <si>
    <t>17.7</t>
  </si>
  <si>
    <t>Justin Jefferson </t>
  </si>
  <si>
    <t>WR</t>
  </si>
  <si>
    <t>WR 1</t>
  </si>
  <si>
    <t>17.5</t>
  </si>
  <si>
    <t>Tua Tagovailoa </t>
  </si>
  <si>
    <t>QB 19</t>
  </si>
  <si>
    <t>Justin Fields </t>
  </si>
  <si>
    <t>QB 20</t>
  </si>
  <si>
    <t>Ryan Tannehill </t>
  </si>
  <si>
    <t>QB 21</t>
  </si>
  <si>
    <t>17.4</t>
  </si>
  <si>
    <t>Carson Wentz </t>
  </si>
  <si>
    <t>QB 22</t>
  </si>
  <si>
    <t>17.0</t>
  </si>
  <si>
    <t>Daniel Jones </t>
  </si>
  <si>
    <t>QB 23</t>
  </si>
  <si>
    <t>Jared Goff </t>
  </si>
  <si>
    <t>QB 24</t>
  </si>
  <si>
    <t>16.9</t>
  </si>
  <si>
    <t>Mac Jones</t>
  </si>
  <si>
    <t>QB 25</t>
  </si>
  <si>
    <t>16.3</t>
  </si>
  <si>
    <t>Baker Mayfield </t>
  </si>
  <si>
    <t>QB 26</t>
  </si>
  <si>
    <t>Joe Mixon </t>
  </si>
  <si>
    <t>RB 5</t>
  </si>
  <si>
    <t>Dalvin Cook </t>
  </si>
  <si>
    <t>RB 6</t>
  </si>
  <si>
    <t>Davis Mills </t>
  </si>
  <si>
    <t>QB 27</t>
  </si>
  <si>
    <t>15.9</t>
  </si>
  <si>
    <t>Marcus Mariota </t>
  </si>
  <si>
    <t>QB 28</t>
  </si>
  <si>
    <t>15.8</t>
  </si>
  <si>
    <t>Cooper Kupp </t>
  </si>
  <si>
    <t>WR 2</t>
  </si>
  <si>
    <t>15.6</t>
  </si>
  <si>
    <t>Mitch Trubisky </t>
  </si>
  <si>
    <t>QB 29</t>
  </si>
  <si>
    <t>15.5</t>
  </si>
  <si>
    <t>Ja'Marr Chase </t>
  </si>
  <si>
    <t>WR 3</t>
  </si>
  <si>
    <t>15.1</t>
  </si>
  <si>
    <t>Alvin Kamara</t>
  </si>
  <si>
    <t>RB 7</t>
  </si>
  <si>
    <t>Najee Harris </t>
  </si>
  <si>
    <t>RB 8</t>
  </si>
  <si>
    <t>Jacoby Brissett </t>
  </si>
  <si>
    <t>QB 30</t>
  </si>
  <si>
    <t>Davante Adams</t>
  </si>
  <si>
    <t>WR 4</t>
  </si>
  <si>
    <t>14.8</t>
  </si>
  <si>
    <t>Geno Smith </t>
  </si>
  <si>
    <t>QB 31</t>
  </si>
  <si>
    <t>14.4</t>
  </si>
  <si>
    <t>Stefon Diggs </t>
  </si>
  <si>
    <t>WR 5</t>
  </si>
  <si>
    <t>14.3</t>
  </si>
  <si>
    <t>D'Andre Swift </t>
  </si>
  <si>
    <t>RB 9</t>
  </si>
  <si>
    <t>Aaron Jones</t>
  </si>
  <si>
    <t>RB 10</t>
  </si>
  <si>
    <t>14.0</t>
  </si>
  <si>
    <t>Nick Chubb </t>
  </si>
  <si>
    <t>RB 11</t>
  </si>
  <si>
    <t>Saquon Barkley </t>
  </si>
  <si>
    <t>RB 12</t>
  </si>
  <si>
    <t>13.9</t>
  </si>
  <si>
    <t>CeeDee Lamb </t>
  </si>
  <si>
    <t>WR 6</t>
  </si>
  <si>
    <t>13.8</t>
  </si>
  <si>
    <t>Javonte Williams </t>
  </si>
  <si>
    <t>RB 13</t>
  </si>
  <si>
    <t>Leonard Fournette</t>
  </si>
  <si>
    <t>RB 14</t>
  </si>
  <si>
    <t>13.7</t>
  </si>
  <si>
    <t>James Conner </t>
  </si>
  <si>
    <t>RB 15</t>
  </si>
  <si>
    <t>13.6</t>
  </si>
  <si>
    <t>Mark Andrews </t>
  </si>
  <si>
    <t>TE</t>
  </si>
  <si>
    <t>TE 1</t>
  </si>
  <si>
    <t>13.5</t>
  </si>
  <si>
    <t>Joe Flacco </t>
  </si>
  <si>
    <t>QB 32</t>
  </si>
  <si>
    <t>Michael Pittman Jr. </t>
  </si>
  <si>
    <t>WR 7</t>
  </si>
  <si>
    <t>13.4</t>
  </si>
  <si>
    <t>Travis Kelce</t>
  </si>
  <si>
    <t>TE 2</t>
  </si>
  <si>
    <t>Deebo Samuel</t>
  </si>
  <si>
    <t>WR 8</t>
  </si>
  <si>
    <t>13.1</t>
  </si>
  <si>
    <t>Antonio Gibson </t>
  </si>
  <si>
    <t>RB 16</t>
  </si>
  <si>
    <t>Mike Evans</t>
  </si>
  <si>
    <t>WR 9</t>
  </si>
  <si>
    <t>12.9</t>
  </si>
  <si>
    <t>A.J. Brown </t>
  </si>
  <si>
    <t>WR 10</t>
  </si>
  <si>
    <t>12.6</t>
  </si>
  <si>
    <t>Ezekiel Elliott </t>
  </si>
  <si>
    <t>RB 17</t>
  </si>
  <si>
    <t>12.5</t>
  </si>
  <si>
    <t>Tyreek Hill </t>
  </si>
  <si>
    <t>WR 11</t>
  </si>
  <si>
    <t>12.3</t>
  </si>
  <si>
    <t>Keenan Allen </t>
  </si>
  <si>
    <t>WR 12</t>
  </si>
  <si>
    <t>12.2</t>
  </si>
  <si>
    <t>Josh Jacobs</t>
  </si>
  <si>
    <t>RB 18</t>
  </si>
  <si>
    <t>12.1</t>
  </si>
  <si>
    <t>Travis Etienne Jr. </t>
  </si>
  <si>
    <t>RB 19</t>
  </si>
  <si>
    <t>11.9</t>
  </si>
  <si>
    <t>Courtland Sutton </t>
  </si>
  <si>
    <t>WR 13</t>
  </si>
  <si>
    <t>Tee Higgins </t>
  </si>
  <si>
    <t>WR 14</t>
  </si>
  <si>
    <t>DJ Moore </t>
  </si>
  <si>
    <t>WR 15</t>
  </si>
  <si>
    <t>David Montgomery </t>
  </si>
  <si>
    <t>RB 20</t>
  </si>
  <si>
    <t>11.8</t>
  </si>
  <si>
    <t>Diontae Johnson </t>
  </si>
  <si>
    <t>WR 16</t>
  </si>
  <si>
    <t>Elijah Mitchell</t>
  </si>
  <si>
    <t>RB 21</t>
  </si>
  <si>
    <t>AJ Dillon</t>
  </si>
  <si>
    <t>RB 22</t>
  </si>
  <si>
    <t>11.6</t>
  </si>
  <si>
    <t>Cam Akers </t>
  </si>
  <si>
    <t>RB 23</t>
  </si>
  <si>
    <t>Marquise Brown </t>
  </si>
  <si>
    <t>WR 17</t>
  </si>
  <si>
    <t>Mike Williams </t>
  </si>
  <si>
    <t>WR 18</t>
  </si>
  <si>
    <t>11.4</t>
  </si>
  <si>
    <t>Brandin Cooks </t>
  </si>
  <si>
    <t>WR 19</t>
  </si>
  <si>
    <t>Terry McLaurin </t>
  </si>
  <si>
    <t>WR 20</t>
  </si>
  <si>
    <t>Chase Edmonds </t>
  </si>
  <si>
    <t>RB 24</t>
  </si>
  <si>
    <t>11.3</t>
  </si>
  <si>
    <t>Jaylen Waddle </t>
  </si>
  <si>
    <t>WR 21</t>
  </si>
  <si>
    <t>11.1</t>
  </si>
  <si>
    <t>Rashod Bateman </t>
  </si>
  <si>
    <t>WR 22</t>
  </si>
  <si>
    <t>DK Metcalf </t>
  </si>
  <si>
    <t>WR 23</t>
  </si>
  <si>
    <t>Darnell Mooney </t>
  </si>
  <si>
    <t>WR 24</t>
  </si>
  <si>
    <t>10.9</t>
  </si>
  <si>
    <t>Rashaad Penny </t>
  </si>
  <si>
    <t>RB 25</t>
  </si>
  <si>
    <t>Michael Thomas</t>
  </si>
  <si>
    <t>WR 25</t>
  </si>
  <si>
    <t>10.8</t>
  </si>
  <si>
    <t>Allen Robinson II </t>
  </si>
  <si>
    <t>WR 26</t>
  </si>
  <si>
    <t>10.7</t>
  </si>
  <si>
    <t>Jerry Jeudy </t>
  </si>
  <si>
    <t>WR 27</t>
  </si>
  <si>
    <t>Gabriel Davis </t>
  </si>
  <si>
    <t>WR 28</t>
  </si>
  <si>
    <t>10.5</t>
  </si>
  <si>
    <t>Amon-Ra St. Brown </t>
  </si>
  <si>
    <t>WR 29</t>
  </si>
  <si>
    <t>JuJu Smith-Schuster</t>
  </si>
  <si>
    <t>WR 30</t>
  </si>
  <si>
    <t>10.4</t>
  </si>
  <si>
    <t>Damien Harris</t>
  </si>
  <si>
    <t>RB 26</t>
  </si>
  <si>
    <t>Breece Hall </t>
  </si>
  <si>
    <t>RB 27</t>
  </si>
  <si>
    <t>Clyde Edwards-Helaire</t>
  </si>
  <si>
    <t>RB 28</t>
  </si>
  <si>
    <t>10.3</t>
  </si>
  <si>
    <t>Dameon Pierce </t>
  </si>
  <si>
    <t>RB 29</t>
  </si>
  <si>
    <t>Miles Sanders </t>
  </si>
  <si>
    <t>RB 30</t>
  </si>
  <si>
    <t>Elijah Moore </t>
  </si>
  <si>
    <t>WR 31</t>
  </si>
  <si>
    <t>10.1</t>
  </si>
  <si>
    <t>Adam Thielen </t>
  </si>
  <si>
    <t>WR 32</t>
  </si>
  <si>
    <t>10.0</t>
  </si>
  <si>
    <t>Amari Cooper </t>
  </si>
  <si>
    <t>WR 33</t>
  </si>
  <si>
    <t>Allen Lazard</t>
  </si>
  <si>
    <t>WR 34</t>
  </si>
  <si>
    <t>Christian Kirk </t>
  </si>
  <si>
    <t>WR 35</t>
  </si>
  <si>
    <t>Kareem Hunt </t>
  </si>
  <si>
    <t>RB 31</t>
  </si>
  <si>
    <t>9.9</t>
  </si>
  <si>
    <t>Rhamondre Stevenson</t>
  </si>
  <si>
    <t>RB 32</t>
  </si>
  <si>
    <t>DeVonta Smith </t>
  </si>
  <si>
    <t>WR 36</t>
  </si>
  <si>
    <t>9.8</t>
  </si>
  <si>
    <t>Kyle Pitts </t>
  </si>
  <si>
    <t>TE 3</t>
  </si>
  <si>
    <t>9.7</t>
  </si>
  <si>
    <t>Cordarrelle Patterson </t>
  </si>
  <si>
    <t>RB 33</t>
  </si>
  <si>
    <t>9.6</t>
  </si>
  <si>
    <t>Tony Pollard </t>
  </si>
  <si>
    <t>RB 34</t>
  </si>
  <si>
    <t>Hunter Renfrow</t>
  </si>
  <si>
    <t>WR 37</t>
  </si>
  <si>
    <t>9.4</t>
  </si>
  <si>
    <t>Brandon Aiyuk</t>
  </si>
  <si>
    <t>WR 38</t>
  </si>
  <si>
    <t>9.3</t>
  </si>
  <si>
    <t>George Kittle</t>
  </si>
  <si>
    <t>TE 4</t>
  </si>
  <si>
    <t>Tyler Lockett </t>
  </si>
  <si>
    <t>WR 39</t>
  </si>
  <si>
    <t>Robert Woods </t>
  </si>
  <si>
    <t>WR 40</t>
  </si>
  <si>
    <t>9.2</t>
  </si>
  <si>
    <t>Drake London </t>
  </si>
  <si>
    <t>WR 41</t>
  </si>
  <si>
    <t>9.1</t>
  </si>
  <si>
    <t>Dalton Schultz </t>
  </si>
  <si>
    <t>TE 5</t>
  </si>
  <si>
    <t>9.0</t>
  </si>
  <si>
    <t>Chris Godwin</t>
  </si>
  <si>
    <t>WR 42</t>
  </si>
  <si>
    <t>Kadarius Toney </t>
  </si>
  <si>
    <t>WR 43</t>
  </si>
  <si>
    <t>Chris Olave</t>
  </si>
  <si>
    <t>WR 44</t>
  </si>
  <si>
    <t>Devin Singletary </t>
  </si>
  <si>
    <t>RB 35</t>
  </si>
  <si>
    <t>Melvin Gordon III </t>
  </si>
  <si>
    <t>RB 36</t>
  </si>
  <si>
    <t>8.9</t>
  </si>
  <si>
    <t>Chase Claypool </t>
  </si>
  <si>
    <t>WR 45</t>
  </si>
  <si>
    <t>Darren Waller</t>
  </si>
  <si>
    <t>TE 6</t>
  </si>
  <si>
    <t>8.8</t>
  </si>
  <si>
    <t>San Francisco 49ers</t>
  </si>
  <si>
    <t>DEF</t>
  </si>
  <si>
    <t>DEF 1</t>
  </si>
  <si>
    <t>8.6</t>
  </si>
  <si>
    <t>Dallas Goedert </t>
  </si>
  <si>
    <t>TE 7</t>
  </si>
  <si>
    <t>Zach Wilson </t>
  </si>
  <si>
    <t>QB 33</t>
  </si>
  <si>
    <t>8.5</t>
  </si>
  <si>
    <t>Tyler Boyd </t>
  </si>
  <si>
    <t>WR 46</t>
  </si>
  <si>
    <t>Marquez Valdes-Scantling</t>
  </si>
  <si>
    <t>WR 47</t>
  </si>
  <si>
    <t>8.4</t>
  </si>
  <si>
    <t>Michael Carter </t>
  </si>
  <si>
    <t>RB 37</t>
  </si>
  <si>
    <t>Jakobi Meyers</t>
  </si>
  <si>
    <t>WR 48</t>
  </si>
  <si>
    <t>Darrell Henderson Jr. </t>
  </si>
  <si>
    <t>RB 38</t>
  </si>
  <si>
    <t>8.2</t>
  </si>
  <si>
    <t>Nyheim Hines </t>
  </si>
  <si>
    <t>RB 39</t>
  </si>
  <si>
    <t>8.1</t>
  </si>
  <si>
    <t>Jarvis Landry</t>
  </si>
  <si>
    <t>WR 49</t>
  </si>
  <si>
    <t>Denver Broncos </t>
  </si>
  <si>
    <t>DEF 2</t>
  </si>
  <si>
    <t>8.0</t>
  </si>
  <si>
    <t>DeVante Parker</t>
  </si>
  <si>
    <t>WR 50</t>
  </si>
  <si>
    <t>T.J. Hockenson </t>
  </si>
  <si>
    <t>TE 8</t>
  </si>
  <si>
    <t>Rondale Moore </t>
  </si>
  <si>
    <t>WR 51</t>
  </si>
  <si>
    <t>Zach Ertz </t>
  </si>
  <si>
    <t>TE 9</t>
  </si>
  <si>
    <t>7.7</t>
  </si>
  <si>
    <t>New Orleans Saints</t>
  </si>
  <si>
    <t>DEF 3</t>
  </si>
  <si>
    <t>George Pickens </t>
  </si>
  <si>
    <t>WR 52</t>
  </si>
  <si>
    <t>7.6</t>
  </si>
  <si>
    <t>Jahan Dotson </t>
  </si>
  <si>
    <t>WR 53</t>
  </si>
  <si>
    <t>Treylon Burks </t>
  </si>
  <si>
    <t>WR 54</t>
  </si>
  <si>
    <t>Julio Jones</t>
  </si>
  <si>
    <t>WR 55</t>
  </si>
  <si>
    <t>7.5</t>
  </si>
  <si>
    <t>Garrett Wilson </t>
  </si>
  <si>
    <t>WR 56</t>
  </si>
  <si>
    <t>7.4</t>
  </si>
  <si>
    <t>James Cook </t>
  </si>
  <si>
    <t>RB 40</t>
  </si>
  <si>
    <t>Baltimore Ravens </t>
  </si>
  <si>
    <t>DEF 4</t>
  </si>
  <si>
    <t>Russell Gage</t>
  </si>
  <si>
    <t>WR 57</t>
  </si>
  <si>
    <t>Indianapolis Colts </t>
  </si>
  <si>
    <t>DEF 5</t>
  </si>
  <si>
    <t>DJ Chark Jr. </t>
  </si>
  <si>
    <t>WR 58</t>
  </si>
  <si>
    <t>Nico Collins </t>
  </si>
  <si>
    <t>WR 59</t>
  </si>
  <si>
    <t>Dawson Knox </t>
  </si>
  <si>
    <t>TE 10</t>
  </si>
  <si>
    <t>Kenny Golladay </t>
  </si>
  <si>
    <t>WR 60</t>
  </si>
  <si>
    <t>7.3</t>
  </si>
  <si>
    <t>Cleveland Browns </t>
  </si>
  <si>
    <t>DEF 6</t>
  </si>
  <si>
    <t>Corey Davis </t>
  </si>
  <si>
    <t>WR 61</t>
  </si>
  <si>
    <t>7.1</t>
  </si>
  <si>
    <t>James Robinson </t>
  </si>
  <si>
    <t>RB 41</t>
  </si>
  <si>
    <t>Isaiah McKenzie </t>
  </si>
  <si>
    <t>WR 62</t>
  </si>
  <si>
    <t>Buffalo Bills </t>
  </si>
  <si>
    <t>DEF 7</t>
  </si>
  <si>
    <t>Mecole Hardman</t>
  </si>
  <si>
    <t>WR 63</t>
  </si>
  <si>
    <t>Skyy Moore</t>
  </si>
  <si>
    <t>WR 64</t>
  </si>
  <si>
    <t>Cincinnati Bengals </t>
  </si>
  <si>
    <t>DEF 8</t>
  </si>
  <si>
    <t>7.0</t>
  </si>
  <si>
    <t>Pat Freiermuth </t>
  </si>
  <si>
    <t>TE 11</t>
  </si>
  <si>
    <t>Cole Kmet </t>
  </si>
  <si>
    <t>TE 12</t>
  </si>
  <si>
    <t>Hunter Henry</t>
  </si>
  <si>
    <t>TE 13</t>
  </si>
  <si>
    <t>Marvin Jones Jr. </t>
  </si>
  <si>
    <t>WR 65</t>
  </si>
  <si>
    <t>6.9</t>
  </si>
  <si>
    <t>K.J. Osborn </t>
  </si>
  <si>
    <t>WR 66</t>
  </si>
  <si>
    <t>Albert Okwuegbunam </t>
  </si>
  <si>
    <t>TE 14</t>
  </si>
  <si>
    <t>Tennessee Titans </t>
  </si>
  <si>
    <t>DEF 9</t>
  </si>
  <si>
    <t>Miami Dolphins </t>
  </si>
  <si>
    <t>DEF 10</t>
  </si>
  <si>
    <t>6.8</t>
  </si>
  <si>
    <t>David Njoku </t>
  </si>
  <si>
    <t>TE 15</t>
  </si>
  <si>
    <t>J.D. McKissic </t>
  </si>
  <si>
    <t>RB 42</t>
  </si>
  <si>
    <t>Irv Smith Jr. </t>
  </si>
  <si>
    <t>TE 16</t>
  </si>
  <si>
    <t>Robbie Anderson </t>
  </si>
  <si>
    <t>WR 67</t>
  </si>
  <si>
    <t>Jalen Tolbert </t>
  </si>
  <si>
    <t>WR 68</t>
  </si>
  <si>
    <t>6.7</t>
  </si>
  <si>
    <t>Mike Gesicki </t>
  </si>
  <si>
    <t>TE 17</t>
  </si>
  <si>
    <t>Joshua Palmer </t>
  </si>
  <si>
    <t>WR 69</t>
  </si>
  <si>
    <t>6.6</t>
  </si>
  <si>
    <t>Gerald Everett </t>
  </si>
  <si>
    <t>TE 18</t>
  </si>
  <si>
    <t>Evan Engram </t>
  </si>
  <si>
    <t>TE 19</t>
  </si>
  <si>
    <t>Van Jefferson </t>
  </si>
  <si>
    <t>WR 70</t>
  </si>
  <si>
    <t>6.5</t>
  </si>
  <si>
    <t>Jamaal Williams </t>
  </si>
  <si>
    <t>RB 43</t>
  </si>
  <si>
    <t>Kenneth Gainwell </t>
  </si>
  <si>
    <t>RB 44</t>
  </si>
  <si>
    <t>Austin Hooper </t>
  </si>
  <si>
    <t>TE 20</t>
  </si>
  <si>
    <t>6.4</t>
  </si>
  <si>
    <t>Curtis Samuel </t>
  </si>
  <si>
    <t>WR 71</t>
  </si>
  <si>
    <t>Tampa Bay Buccaneers</t>
  </si>
  <si>
    <t>DEF 11</t>
  </si>
  <si>
    <t>Raheem Mostert </t>
  </si>
  <si>
    <t>RB 45</t>
  </si>
  <si>
    <t>Alec Pierce </t>
  </si>
  <si>
    <t>WR 72</t>
  </si>
  <si>
    <t>6.3</t>
  </si>
  <si>
    <t>Philadelphia Eagles </t>
  </si>
  <si>
    <t>DEF 12</t>
  </si>
  <si>
    <t>A.J. Green </t>
  </si>
  <si>
    <t>WR 73</t>
  </si>
  <si>
    <t>New England Patriots</t>
  </si>
  <si>
    <t>DEF 13</t>
  </si>
  <si>
    <t>6.2</t>
  </si>
  <si>
    <t>Donovan Peoples-Jones </t>
  </si>
  <si>
    <t>WR 74</t>
  </si>
  <si>
    <t>Alexander Mattison </t>
  </si>
  <si>
    <t>RB 46</t>
  </si>
  <si>
    <t>Tyler Higbee </t>
  </si>
  <si>
    <t>TE 21</t>
  </si>
  <si>
    <t>Los Angeles Chargers </t>
  </si>
  <si>
    <t>DEF 14</t>
  </si>
  <si>
    <t>Green Bay Packers</t>
  </si>
  <si>
    <t>DEF 15</t>
  </si>
  <si>
    <t>6.1</t>
  </si>
  <si>
    <t>Noah Fant </t>
  </si>
  <si>
    <t>TE 22</t>
  </si>
  <si>
    <t>6.0</t>
  </si>
  <si>
    <t>Parris Campbell </t>
  </si>
  <si>
    <t>WR 75</t>
  </si>
  <si>
    <t>Kansas City Chiefs</t>
  </si>
  <si>
    <t>DEF 16</t>
  </si>
  <si>
    <t>Zay Jones </t>
  </si>
  <si>
    <t>WR 76</t>
  </si>
  <si>
    <t>Los Angeles Rams </t>
  </si>
  <si>
    <t>DEF 17</t>
  </si>
  <si>
    <t>Pittsburgh Steelers </t>
  </si>
  <si>
    <t>DEF 18</t>
  </si>
  <si>
    <t>Mark Ingram II</t>
  </si>
  <si>
    <t>RB 47</t>
  </si>
  <si>
    <t>Sammy Watkins</t>
  </si>
  <si>
    <t>WR 77</t>
  </si>
  <si>
    <t>Christian Watson</t>
  </si>
  <si>
    <t>WR 78</t>
  </si>
  <si>
    <t>5.9</t>
  </si>
  <si>
    <t>Wan'Dale Robinson </t>
  </si>
  <si>
    <t>WR 79</t>
  </si>
  <si>
    <t>Carolina Panthers </t>
  </si>
  <si>
    <t>DEF 19</t>
  </si>
  <si>
    <t>Washington Commanders </t>
  </si>
  <si>
    <t>DEF 20</t>
  </si>
  <si>
    <t>Romeo Doubs</t>
  </si>
  <si>
    <t>WR 80</t>
  </si>
  <si>
    <t>Dallas Cowboys </t>
  </si>
  <si>
    <t>DEF 21</t>
  </si>
  <si>
    <t>5.8</t>
  </si>
  <si>
    <t>Jacksonville Jaguars </t>
  </si>
  <si>
    <t>DEF 22</t>
  </si>
  <si>
    <t>Chicago Bears </t>
  </si>
  <si>
    <t>DEF 23</t>
  </si>
  <si>
    <t>KJ Hamler </t>
  </si>
  <si>
    <t>WR 81</t>
  </si>
  <si>
    <t>5.7</t>
  </si>
  <si>
    <t>Jamison Crowder </t>
  </si>
  <si>
    <t>WR 82</t>
  </si>
  <si>
    <t>5.6</t>
  </si>
  <si>
    <t>Kendrick Bourne</t>
  </si>
  <si>
    <t>WR 83</t>
  </si>
  <si>
    <t>Arizona Cardinals </t>
  </si>
  <si>
    <t>DEF 24</t>
  </si>
  <si>
    <t>J.K. Dobbins </t>
  </si>
  <si>
    <t>RB 48</t>
  </si>
  <si>
    <t>Khalil Herbert </t>
  </si>
  <si>
    <t>RB 49</t>
  </si>
  <si>
    <t>New York Giants </t>
  </si>
  <si>
    <t>DEF 25</t>
  </si>
  <si>
    <t>Robert Tonyan</t>
  </si>
  <si>
    <t>TE 23</t>
  </si>
  <si>
    <t>5.5</t>
  </si>
  <si>
    <t>Minnesota Vikings </t>
  </si>
  <si>
    <t>DEF 26</t>
  </si>
  <si>
    <t>Seattle Seahawks </t>
  </si>
  <si>
    <t>DEF 27</t>
  </si>
  <si>
    <t>New York Jets </t>
  </si>
  <si>
    <t>DEF 28</t>
  </si>
  <si>
    <t>Atlanta Falcons </t>
  </si>
  <si>
    <t>DEF 29</t>
  </si>
  <si>
    <t>Las Vegas Raiders</t>
  </si>
  <si>
    <t>DEF 30</t>
  </si>
  <si>
    <t>5.4</t>
  </si>
  <si>
    <t>Detroit Lions </t>
  </si>
  <si>
    <t>DEF 31</t>
  </si>
  <si>
    <t>Randall Cobb</t>
  </si>
  <si>
    <t>WR 84</t>
  </si>
  <si>
    <t>5.3</t>
  </si>
  <si>
    <t>Hayden Hurst </t>
  </si>
  <si>
    <t>TE 24</t>
  </si>
  <si>
    <t>Mo Alie-Cox </t>
  </si>
  <si>
    <t>TE 25</t>
  </si>
  <si>
    <t>Rachaad White</t>
  </si>
  <si>
    <t>RB 50</t>
  </si>
  <si>
    <t>Cedrick Wilson Jr. </t>
  </si>
  <si>
    <t>WR 85</t>
  </si>
  <si>
    <t>5.2</t>
  </si>
  <si>
    <t>David Bell </t>
  </si>
  <si>
    <t>WR 86</t>
  </si>
  <si>
    <t>Tyler Allgeier </t>
  </si>
  <si>
    <t>RB 51</t>
  </si>
  <si>
    <t>Brevin Jordan </t>
  </si>
  <si>
    <t>TE 26</t>
  </si>
  <si>
    <t>5.1</t>
  </si>
  <si>
    <t>Houston Texans </t>
  </si>
  <si>
    <t>DEF 32</t>
  </si>
  <si>
    <t>Devin Duvernay </t>
  </si>
  <si>
    <t>WR 87</t>
  </si>
  <si>
    <t>Kenyan Drake </t>
  </si>
  <si>
    <t>RB 52</t>
  </si>
  <si>
    <t>4.9</t>
  </si>
  <si>
    <t>Nick Westbrook-Ikhine </t>
  </si>
  <si>
    <t>WR 88</t>
  </si>
  <si>
    <t>4.8</t>
  </si>
  <si>
    <t>Braxton Berrios </t>
  </si>
  <si>
    <t>WR 89</t>
  </si>
  <si>
    <t>Laviska Shenault Jr. </t>
  </si>
  <si>
    <t>WR 90</t>
  </si>
  <si>
    <t>Cameron Brate</t>
  </si>
  <si>
    <t>TE 27</t>
  </si>
  <si>
    <t>4.7</t>
  </si>
  <si>
    <t>Sterling Shepard </t>
  </si>
  <si>
    <t>WR 91</t>
  </si>
  <si>
    <t>Byron Pringle </t>
  </si>
  <si>
    <t>WR 92</t>
  </si>
  <si>
    <t>4.6</t>
  </si>
  <si>
    <t>Logan Thomas </t>
  </si>
  <si>
    <t>TE 28</t>
  </si>
  <si>
    <t>Damien Williams </t>
  </si>
  <si>
    <t>RB 53</t>
  </si>
  <si>
    <t>4.5</t>
  </si>
  <si>
    <t>C.J. Uzomah </t>
  </si>
  <si>
    <t>TE 29</t>
  </si>
  <si>
    <t>Bryan Edwards </t>
  </si>
  <si>
    <t>WR 93</t>
  </si>
  <si>
    <t>4.4</t>
  </si>
  <si>
    <t>Nelson Agholor</t>
  </si>
  <si>
    <t>WR 94</t>
  </si>
  <si>
    <t>Mike Davis </t>
  </si>
  <si>
    <t>RB 54</t>
  </si>
  <si>
    <t>4.3</t>
  </si>
  <si>
    <t>Terrace Marshall Jr. </t>
  </si>
  <si>
    <t>WR 95</t>
  </si>
  <si>
    <t>Marquez Callaway</t>
  </si>
  <si>
    <t>WR 96</t>
  </si>
  <si>
    <t>Zamir White</t>
  </si>
  <si>
    <t>RB 55</t>
  </si>
  <si>
    <t>4.2</t>
  </si>
  <si>
    <t>Darius Slayton </t>
  </si>
  <si>
    <t>WR 97</t>
  </si>
  <si>
    <t>Jeff Wilson Jr.</t>
  </si>
  <si>
    <t>RB 56</t>
  </si>
  <si>
    <t>4.1</t>
  </si>
  <si>
    <t>Rex Burkhead </t>
  </si>
  <si>
    <t>RB 57</t>
  </si>
  <si>
    <t>4.0</t>
  </si>
  <si>
    <t>Josh Reynolds </t>
  </si>
  <si>
    <t>WR 98</t>
  </si>
  <si>
    <t>Kyle Philips </t>
  </si>
  <si>
    <t>WR 99</t>
  </si>
  <si>
    <t>3.9</t>
  </si>
  <si>
    <t>Jonnu Smith</t>
  </si>
  <si>
    <t>TE 30</t>
  </si>
  <si>
    <t>3.8</t>
  </si>
  <si>
    <t>Velus Jones Jr. </t>
  </si>
  <si>
    <t>WR 100</t>
  </si>
  <si>
    <t>Boston Scott </t>
  </si>
  <si>
    <t>RB 58</t>
  </si>
  <si>
    <t>Samaje Perine </t>
  </si>
  <si>
    <t>RB 59</t>
  </si>
  <si>
    <t>Jalen Guyton </t>
  </si>
  <si>
    <t>WR 101</t>
  </si>
  <si>
    <t>3.7</t>
  </si>
  <si>
    <t>Tyler Conklin </t>
  </si>
  <si>
    <t>TE 31</t>
  </si>
  <si>
    <t>Ronald Jones II</t>
  </si>
  <si>
    <t>RB 60</t>
  </si>
  <si>
    <t>Dan Arnold </t>
  </si>
  <si>
    <t>TE 32</t>
  </si>
  <si>
    <t>3.6</t>
  </si>
  <si>
    <t>Ameer Abdullah</t>
  </si>
  <si>
    <t>RB 61</t>
  </si>
  <si>
    <t>Quintez Cephus </t>
  </si>
  <si>
    <t>WR 102</t>
  </si>
  <si>
    <t>Tre'Quan Smith</t>
  </si>
  <si>
    <t>WR 103</t>
  </si>
  <si>
    <t>3.5</t>
  </si>
  <si>
    <t>Michael Gallup </t>
  </si>
  <si>
    <t>WR 104</t>
  </si>
  <si>
    <t>Darrel Williams </t>
  </si>
  <si>
    <t>RB 62</t>
  </si>
  <si>
    <t>Jerick McKinnon</t>
  </si>
  <si>
    <t>RB 63</t>
  </si>
  <si>
    <t>3.4</t>
  </si>
  <si>
    <t>Quez Watkins </t>
  </si>
  <si>
    <t>WR 105</t>
  </si>
  <si>
    <t>Adam Trautman</t>
  </si>
  <si>
    <t>TE 33</t>
  </si>
  <si>
    <t>Amari Rodgers</t>
  </si>
  <si>
    <t>WR 106</t>
  </si>
  <si>
    <t>Trey McBride </t>
  </si>
  <si>
    <t>TE 34</t>
  </si>
  <si>
    <t>3.3</t>
  </si>
  <si>
    <t>Harrison Bryant </t>
  </si>
  <si>
    <t>TE 35</t>
  </si>
  <si>
    <t>Isaiah Likely </t>
  </si>
  <si>
    <t>TE 36</t>
  </si>
  <si>
    <t>Khalil Shakir </t>
  </si>
  <si>
    <t>WR 107</t>
  </si>
  <si>
    <t>3.2</t>
  </si>
  <si>
    <t>Olamide Zaccheaus </t>
  </si>
  <si>
    <t>WR 108</t>
  </si>
  <si>
    <t>Jalen Reagor </t>
  </si>
  <si>
    <t>WR 109</t>
  </si>
  <si>
    <t>Daniel Bellinger </t>
  </si>
  <si>
    <t>TE 37</t>
  </si>
  <si>
    <t>Noah Brown </t>
  </si>
  <si>
    <t>WR 110</t>
  </si>
  <si>
    <t>3.0</t>
  </si>
  <si>
    <t>Data</t>
  </si>
  <si>
    <t>Nickname</t>
  </si>
  <si>
    <t>Position</t>
  </si>
  <si>
    <t>Position Rank</t>
  </si>
  <si>
    <t>FPTS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</si>
</sst>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377B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417505"/>
      <name val="Calibri"/>
      <family val="2"/>
      <scheme val="minor"/>
    </font>
    <font>
      <sz val="11"/>
      <color rgb="FF767676"/>
      <name val="Calibri"/>
      <family val="2"/>
      <scheme val="minor"/>
    </font>
    <font>
      <sz val="11"/>
      <color rgb="FF95660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DEDEDE"/>
      </left>
      <right style="medium">
        <color rgb="FFDEDEDE"/>
      </right>
      <top style="medium">
        <color rgb="FFDEDEDE"/>
      </top>
      <bottom style="medium">
        <color rgb="FFDEDEDE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3" fillId="0" borderId="0" xfId="0" applyFont="1"/>
    <xf numFmtId="0" fontId="4" fillId="0" borderId="1" xfId="0" applyFont="1" applyBorder="1" applyAlignment="1">
      <alignment vertical="center"/>
    </xf>
    <xf numFmtId="9" fontId="4" fillId="0" borderId="1" xfId="0" applyNumberFormat="1" applyFont="1" applyBorder="1" applyAlignment="1">
      <alignment vertical="center"/>
    </xf>
    <xf numFmtId="0" fontId="1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6E625-0DB9-483A-B7B1-304368A0EF81}">
  <sheetPr codeName="Sheet1"/>
  <dimension ref="A1:A1655"/>
  <sheetViews>
    <sheetView workbookViewId="0">
      <selection activeCell="G10" sqref="G10"/>
    </sheetView>
  </sheetViews>
  <sheetFormatPr defaultRowHeight="15" x14ac:dyDescent="0.25"/>
  <cols>
    <col min="1" max="1" width="55.8554687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ht="15.75" thickBot="1" x14ac:dyDescent="0.3">
      <c r="A7" s="1" t="s">
        <v>6</v>
      </c>
    </row>
    <row r="8" spans="1:1" ht="15.75" thickBot="1" x14ac:dyDescent="0.3">
      <c r="A8" s="2">
        <v>0</v>
      </c>
    </row>
    <row r="9" spans="1:1" ht="15.75" thickBot="1" x14ac:dyDescent="0.3">
      <c r="A9" t="s">
        <v>7</v>
      </c>
    </row>
    <row r="10" spans="1:1" ht="15.75" thickBot="1" x14ac:dyDescent="0.3">
      <c r="A10" s="3">
        <v>0</v>
      </c>
    </row>
    <row r="11" spans="1:1" ht="15.75" thickBot="1" x14ac:dyDescent="0.3">
      <c r="A11" s="3">
        <v>1</v>
      </c>
    </row>
    <row r="12" spans="1:1" x14ac:dyDescent="0.25">
      <c r="A12" s="4" t="s">
        <v>8</v>
      </c>
    </row>
    <row r="13" spans="1:1" ht="15.75" thickBot="1" x14ac:dyDescent="0.3">
      <c r="A13" s="5" t="s">
        <v>9</v>
      </c>
    </row>
    <row r="14" spans="1:1" ht="15.75" thickBot="1" x14ac:dyDescent="0.3">
      <c r="A14" s="2">
        <v>0</v>
      </c>
    </row>
    <row r="15" spans="1:1" ht="15.75" thickBot="1" x14ac:dyDescent="0.3">
      <c r="A15" t="s">
        <v>10</v>
      </c>
    </row>
    <row r="16" spans="1:1" ht="15.75" thickBot="1" x14ac:dyDescent="0.3">
      <c r="A16" s="3">
        <v>0</v>
      </c>
    </row>
    <row r="17" spans="1:1" ht="15.75" thickBot="1" x14ac:dyDescent="0.3">
      <c r="A17" s="3">
        <v>1</v>
      </c>
    </row>
    <row r="18" spans="1:1" x14ac:dyDescent="0.25">
      <c r="A18" s="4" t="s">
        <v>11</v>
      </c>
    </row>
    <row r="19" spans="1:1" ht="15.75" thickBot="1" x14ac:dyDescent="0.3">
      <c r="A19" s="1" t="s">
        <v>12</v>
      </c>
    </row>
    <row r="20" spans="1:1" ht="15.75" thickBot="1" x14ac:dyDescent="0.3">
      <c r="A20" s="2">
        <v>0</v>
      </c>
    </row>
    <row r="21" spans="1:1" ht="15.75" thickBot="1" x14ac:dyDescent="0.3">
      <c r="A21" t="s">
        <v>13</v>
      </c>
    </row>
    <row r="22" spans="1:1" ht="15.75" thickBot="1" x14ac:dyDescent="0.3">
      <c r="A22" s="3">
        <v>0</v>
      </c>
    </row>
    <row r="23" spans="1:1" ht="15.75" thickBot="1" x14ac:dyDescent="0.3">
      <c r="A23" s="3">
        <v>1</v>
      </c>
    </row>
    <row r="24" spans="1:1" x14ac:dyDescent="0.25">
      <c r="A24" s="4" t="s">
        <v>14</v>
      </c>
    </row>
    <row r="25" spans="1:1" ht="15.75" thickBot="1" x14ac:dyDescent="0.3">
      <c r="A25" t="s">
        <v>15</v>
      </c>
    </row>
    <row r="26" spans="1:1" ht="15.75" thickBot="1" x14ac:dyDescent="0.3">
      <c r="A26" s="2">
        <v>0</v>
      </c>
    </row>
    <row r="27" spans="1:1" ht="15.75" thickBot="1" x14ac:dyDescent="0.3">
      <c r="A27" t="s">
        <v>16</v>
      </c>
    </row>
    <row r="28" spans="1:1" ht="15.75" thickBot="1" x14ac:dyDescent="0.3">
      <c r="A28" s="3">
        <v>0</v>
      </c>
    </row>
    <row r="29" spans="1:1" ht="15.75" thickBot="1" x14ac:dyDescent="0.3">
      <c r="A29" s="3">
        <v>1</v>
      </c>
    </row>
    <row r="30" spans="1:1" x14ac:dyDescent="0.25">
      <c r="A30" s="4" t="s">
        <v>17</v>
      </c>
    </row>
    <row r="31" spans="1:1" ht="15.75" thickBot="1" x14ac:dyDescent="0.3">
      <c r="A31" s="1" t="s">
        <v>18</v>
      </c>
    </row>
    <row r="32" spans="1:1" ht="15.75" thickBot="1" x14ac:dyDescent="0.3">
      <c r="A32" s="2">
        <v>0</v>
      </c>
    </row>
    <row r="33" spans="1:1" ht="15.75" thickBot="1" x14ac:dyDescent="0.3">
      <c r="A33" t="s">
        <v>19</v>
      </c>
    </row>
    <row r="34" spans="1:1" ht="15.75" thickBot="1" x14ac:dyDescent="0.3">
      <c r="A34" s="3">
        <v>0</v>
      </c>
    </row>
    <row r="35" spans="1:1" ht="15.75" thickBot="1" x14ac:dyDescent="0.3">
      <c r="A35" s="3">
        <v>1</v>
      </c>
    </row>
    <row r="36" spans="1:1" x14ac:dyDescent="0.25">
      <c r="A36" s="4" t="s">
        <v>20</v>
      </c>
    </row>
    <row r="37" spans="1:1" ht="15.75" thickBot="1" x14ac:dyDescent="0.3">
      <c r="A37" s="5" t="s">
        <v>21</v>
      </c>
    </row>
    <row r="38" spans="1:1" ht="15.75" thickBot="1" x14ac:dyDescent="0.3">
      <c r="A38" s="2">
        <v>0</v>
      </c>
    </row>
    <row r="39" spans="1:1" ht="15.75" thickBot="1" x14ac:dyDescent="0.3">
      <c r="A39" t="s">
        <v>22</v>
      </c>
    </row>
    <row r="40" spans="1:1" ht="15.75" thickBot="1" x14ac:dyDescent="0.3">
      <c r="A40" s="3">
        <v>0</v>
      </c>
    </row>
    <row r="41" spans="1:1" ht="15.75" thickBot="1" x14ac:dyDescent="0.3">
      <c r="A41" s="3">
        <v>1</v>
      </c>
    </row>
    <row r="42" spans="1:1" x14ac:dyDescent="0.25">
      <c r="A42" s="4" t="s">
        <v>23</v>
      </c>
    </row>
    <row r="43" spans="1:1" ht="15.75" thickBot="1" x14ac:dyDescent="0.3">
      <c r="A43" s="1" t="s">
        <v>24</v>
      </c>
    </row>
    <row r="44" spans="1:1" ht="15.75" thickBot="1" x14ac:dyDescent="0.3">
      <c r="A44" s="2">
        <v>0</v>
      </c>
    </row>
    <row r="45" spans="1:1" ht="15.75" thickBot="1" x14ac:dyDescent="0.3">
      <c r="A45" t="s">
        <v>25</v>
      </c>
    </row>
    <row r="46" spans="1:1" ht="15.75" thickBot="1" x14ac:dyDescent="0.3">
      <c r="A46" s="3">
        <v>0</v>
      </c>
    </row>
    <row r="47" spans="1:1" ht="15.75" thickBot="1" x14ac:dyDescent="0.3">
      <c r="A47" s="3">
        <v>1</v>
      </c>
    </row>
    <row r="48" spans="1:1" x14ac:dyDescent="0.25">
      <c r="A48" s="4" t="s">
        <v>26</v>
      </c>
    </row>
    <row r="49" spans="1:1" ht="15.75" thickBot="1" x14ac:dyDescent="0.3">
      <c r="A49" t="s">
        <v>27</v>
      </c>
    </row>
    <row r="50" spans="1:1" ht="15.75" thickBot="1" x14ac:dyDescent="0.3">
      <c r="A50" s="2">
        <v>0</v>
      </c>
    </row>
    <row r="51" spans="1:1" ht="15.75" thickBot="1" x14ac:dyDescent="0.3">
      <c r="A51" t="s">
        <v>28</v>
      </c>
    </row>
    <row r="52" spans="1:1" ht="15.75" thickBot="1" x14ac:dyDescent="0.3">
      <c r="A52" s="3">
        <v>0</v>
      </c>
    </row>
    <row r="53" spans="1:1" ht="15.75" thickBot="1" x14ac:dyDescent="0.3">
      <c r="A53" s="3">
        <v>1</v>
      </c>
    </row>
    <row r="54" spans="1:1" x14ac:dyDescent="0.25">
      <c r="A54" s="4" t="s">
        <v>29</v>
      </c>
    </row>
    <row r="55" spans="1:1" ht="15.75" thickBot="1" x14ac:dyDescent="0.3">
      <c r="A55" t="s">
        <v>30</v>
      </c>
    </row>
    <row r="56" spans="1:1" ht="15.75" thickBot="1" x14ac:dyDescent="0.3">
      <c r="A56" s="2">
        <v>0</v>
      </c>
    </row>
    <row r="57" spans="1:1" ht="15.75" thickBot="1" x14ac:dyDescent="0.3">
      <c r="A57" t="s">
        <v>31</v>
      </c>
    </row>
    <row r="58" spans="1:1" ht="15.75" thickBot="1" x14ac:dyDescent="0.3">
      <c r="A58" s="3">
        <v>0</v>
      </c>
    </row>
    <row r="59" spans="1:1" ht="15.75" thickBot="1" x14ac:dyDescent="0.3">
      <c r="A59" s="3">
        <v>1</v>
      </c>
    </row>
    <row r="60" spans="1:1" x14ac:dyDescent="0.25">
      <c r="A60" s="4" t="s">
        <v>32</v>
      </c>
    </row>
    <row r="61" spans="1:1" ht="15.75" thickBot="1" x14ac:dyDescent="0.3">
      <c r="A61" t="s">
        <v>33</v>
      </c>
    </row>
    <row r="62" spans="1:1" ht="15.75" thickBot="1" x14ac:dyDescent="0.3">
      <c r="A62" s="2">
        <v>0</v>
      </c>
    </row>
    <row r="63" spans="1:1" ht="15.75" thickBot="1" x14ac:dyDescent="0.3">
      <c r="A63" t="s">
        <v>34</v>
      </c>
    </row>
    <row r="64" spans="1:1" ht="15.75" thickBot="1" x14ac:dyDescent="0.3">
      <c r="A64" s="3">
        <v>0</v>
      </c>
    </row>
    <row r="65" spans="1:1" ht="15.75" thickBot="1" x14ac:dyDescent="0.3">
      <c r="A65" s="3">
        <v>1</v>
      </c>
    </row>
    <row r="66" spans="1:1" x14ac:dyDescent="0.25">
      <c r="A66" s="4" t="s">
        <v>35</v>
      </c>
    </row>
    <row r="67" spans="1:1" ht="15.75" thickBot="1" x14ac:dyDescent="0.3">
      <c r="A67" t="s">
        <v>36</v>
      </c>
    </row>
    <row r="68" spans="1:1" ht="15.75" thickBot="1" x14ac:dyDescent="0.3">
      <c r="A68" s="2">
        <v>0</v>
      </c>
    </row>
    <row r="69" spans="1:1" ht="15.75" thickBot="1" x14ac:dyDescent="0.3">
      <c r="A69" t="s">
        <v>37</v>
      </c>
    </row>
    <row r="70" spans="1:1" ht="15.75" thickBot="1" x14ac:dyDescent="0.3">
      <c r="A70" s="3">
        <v>0</v>
      </c>
    </row>
    <row r="71" spans="1:1" ht="15.75" thickBot="1" x14ac:dyDescent="0.3">
      <c r="A71" s="3">
        <v>1</v>
      </c>
    </row>
    <row r="72" spans="1:1" x14ac:dyDescent="0.25">
      <c r="A72" s="4" t="s">
        <v>38</v>
      </c>
    </row>
    <row r="73" spans="1:1" ht="15.75" thickBot="1" x14ac:dyDescent="0.3">
      <c r="A73" t="s">
        <v>39</v>
      </c>
    </row>
    <row r="74" spans="1:1" ht="15.75" thickBot="1" x14ac:dyDescent="0.3">
      <c r="A74" s="2">
        <v>0</v>
      </c>
    </row>
    <row r="75" spans="1:1" ht="15.75" thickBot="1" x14ac:dyDescent="0.3">
      <c r="A75" t="s">
        <v>40</v>
      </c>
    </row>
    <row r="76" spans="1:1" ht="15.75" thickBot="1" x14ac:dyDescent="0.3">
      <c r="A76" s="3">
        <v>0</v>
      </c>
    </row>
    <row r="77" spans="1:1" ht="15.75" thickBot="1" x14ac:dyDescent="0.3">
      <c r="A77" s="3">
        <v>1</v>
      </c>
    </row>
    <row r="78" spans="1:1" x14ac:dyDescent="0.25">
      <c r="A78" s="4" t="s">
        <v>41</v>
      </c>
    </row>
    <row r="79" spans="1:1" ht="15.75" thickBot="1" x14ac:dyDescent="0.3">
      <c r="A79" s="1" t="s">
        <v>42</v>
      </c>
    </row>
    <row r="80" spans="1:1" ht="15.75" thickBot="1" x14ac:dyDescent="0.3">
      <c r="A80" s="2">
        <v>0</v>
      </c>
    </row>
    <row r="81" spans="1:1" ht="15.75" thickBot="1" x14ac:dyDescent="0.3">
      <c r="A81" t="s">
        <v>43</v>
      </c>
    </row>
    <row r="82" spans="1:1" ht="15.75" thickBot="1" x14ac:dyDescent="0.3">
      <c r="A82" s="3">
        <v>0</v>
      </c>
    </row>
    <row r="83" spans="1:1" ht="15.75" thickBot="1" x14ac:dyDescent="0.3">
      <c r="A83" s="3">
        <v>1</v>
      </c>
    </row>
    <row r="84" spans="1:1" x14ac:dyDescent="0.25">
      <c r="A84" s="4" t="s">
        <v>44</v>
      </c>
    </row>
    <row r="85" spans="1:1" ht="15.75" thickBot="1" x14ac:dyDescent="0.3">
      <c r="A85" s="1" t="s">
        <v>45</v>
      </c>
    </row>
    <row r="86" spans="1:1" ht="15.75" thickBot="1" x14ac:dyDescent="0.3">
      <c r="A86" s="2">
        <v>0</v>
      </c>
    </row>
    <row r="87" spans="1:1" ht="15.75" thickBot="1" x14ac:dyDescent="0.3">
      <c r="A87" t="s">
        <v>46</v>
      </c>
    </row>
    <row r="88" spans="1:1" ht="15.75" thickBot="1" x14ac:dyDescent="0.3">
      <c r="A88" s="3">
        <v>0</v>
      </c>
    </row>
    <row r="89" spans="1:1" ht="15.75" thickBot="1" x14ac:dyDescent="0.3">
      <c r="A89" s="3">
        <v>1</v>
      </c>
    </row>
    <row r="90" spans="1:1" x14ac:dyDescent="0.25">
      <c r="A90" s="4" t="s">
        <v>47</v>
      </c>
    </row>
    <row r="91" spans="1:1" ht="15.75" thickBot="1" x14ac:dyDescent="0.3">
      <c r="A91" t="s">
        <v>48</v>
      </c>
    </row>
    <row r="92" spans="1:1" ht="15.75" thickBot="1" x14ac:dyDescent="0.3">
      <c r="A92" s="2">
        <v>0</v>
      </c>
    </row>
    <row r="93" spans="1:1" ht="15.75" thickBot="1" x14ac:dyDescent="0.3">
      <c r="A93" t="s">
        <v>49</v>
      </c>
    </row>
    <row r="94" spans="1:1" ht="15.75" thickBot="1" x14ac:dyDescent="0.3">
      <c r="A94" s="3">
        <v>0</v>
      </c>
    </row>
    <row r="95" spans="1:1" ht="15.75" thickBot="1" x14ac:dyDescent="0.3">
      <c r="A95" s="3">
        <v>1</v>
      </c>
    </row>
    <row r="96" spans="1:1" x14ac:dyDescent="0.25">
      <c r="A96" s="4" t="s">
        <v>50</v>
      </c>
    </row>
    <row r="97" spans="1:1" ht="15.75" thickBot="1" x14ac:dyDescent="0.3">
      <c r="A97" s="5" t="s">
        <v>51</v>
      </c>
    </row>
    <row r="98" spans="1:1" ht="15.75" thickBot="1" x14ac:dyDescent="0.3">
      <c r="A98" s="2">
        <v>0</v>
      </c>
    </row>
    <row r="99" spans="1:1" ht="15.75" thickBot="1" x14ac:dyDescent="0.3">
      <c r="A99" t="s">
        <v>52</v>
      </c>
    </row>
    <row r="100" spans="1:1" ht="15.75" thickBot="1" x14ac:dyDescent="0.3">
      <c r="A100" s="3">
        <v>0</v>
      </c>
    </row>
    <row r="101" spans="1:1" ht="15.75" thickBot="1" x14ac:dyDescent="0.3">
      <c r="A101" s="3">
        <v>1</v>
      </c>
    </row>
    <row r="102" spans="1:1" x14ac:dyDescent="0.25">
      <c r="A102" s="4" t="s">
        <v>53</v>
      </c>
    </row>
    <row r="103" spans="1:1" ht="15.75" thickBot="1" x14ac:dyDescent="0.3">
      <c r="A103" t="s">
        <v>54</v>
      </c>
    </row>
    <row r="104" spans="1:1" ht="15.75" thickBot="1" x14ac:dyDescent="0.3">
      <c r="A104" s="2">
        <v>0</v>
      </c>
    </row>
    <row r="105" spans="1:1" ht="15.75" thickBot="1" x14ac:dyDescent="0.3">
      <c r="A105" t="s">
        <v>55</v>
      </c>
    </row>
    <row r="106" spans="1:1" ht="15.75" thickBot="1" x14ac:dyDescent="0.3">
      <c r="A106" s="3">
        <v>0</v>
      </c>
    </row>
    <row r="107" spans="1:1" ht="15.75" thickBot="1" x14ac:dyDescent="0.3">
      <c r="A107" s="3">
        <v>1</v>
      </c>
    </row>
    <row r="108" spans="1:1" x14ac:dyDescent="0.25">
      <c r="A108" s="4" t="s">
        <v>56</v>
      </c>
    </row>
    <row r="109" spans="1:1" ht="15.75" thickBot="1" x14ac:dyDescent="0.3">
      <c r="A109" s="1" t="s">
        <v>57</v>
      </c>
    </row>
    <row r="110" spans="1:1" ht="15.75" thickBot="1" x14ac:dyDescent="0.3">
      <c r="A110" s="2">
        <v>0</v>
      </c>
    </row>
    <row r="111" spans="1:1" ht="15.75" thickBot="1" x14ac:dyDescent="0.3">
      <c r="A111" t="s">
        <v>58</v>
      </c>
    </row>
    <row r="112" spans="1:1" ht="15.75" thickBot="1" x14ac:dyDescent="0.3">
      <c r="A112" s="3">
        <v>0</v>
      </c>
    </row>
    <row r="113" spans="1:1" ht="15.75" thickBot="1" x14ac:dyDescent="0.3">
      <c r="A113" s="3">
        <v>1</v>
      </c>
    </row>
    <row r="114" spans="1:1" x14ac:dyDescent="0.25">
      <c r="A114" s="4" t="s">
        <v>59</v>
      </c>
    </row>
    <row r="115" spans="1:1" ht="15.75" thickBot="1" x14ac:dyDescent="0.3">
      <c r="A115" s="1" t="s">
        <v>60</v>
      </c>
    </row>
    <row r="116" spans="1:1" ht="15.75" thickBot="1" x14ac:dyDescent="0.3">
      <c r="A116" s="2">
        <v>0</v>
      </c>
    </row>
    <row r="117" spans="1:1" ht="15.75" thickBot="1" x14ac:dyDescent="0.3">
      <c r="A117" t="s">
        <v>61</v>
      </c>
    </row>
    <row r="118" spans="1:1" ht="15.75" thickBot="1" x14ac:dyDescent="0.3">
      <c r="A118" s="3">
        <v>0</v>
      </c>
    </row>
    <row r="119" spans="1:1" ht="15.75" thickBot="1" x14ac:dyDescent="0.3">
      <c r="A119" s="3">
        <v>1</v>
      </c>
    </row>
    <row r="120" spans="1:1" x14ac:dyDescent="0.25">
      <c r="A120" s="4" t="s">
        <v>62</v>
      </c>
    </row>
    <row r="121" spans="1:1" ht="15.75" thickBot="1" x14ac:dyDescent="0.3">
      <c r="A121" s="1" t="s">
        <v>63</v>
      </c>
    </row>
    <row r="122" spans="1:1" ht="15.75" thickBot="1" x14ac:dyDescent="0.3">
      <c r="A122" s="2">
        <v>0</v>
      </c>
    </row>
    <row r="123" spans="1:1" ht="15.75" thickBot="1" x14ac:dyDescent="0.3">
      <c r="A123" t="s">
        <v>64</v>
      </c>
    </row>
    <row r="124" spans="1:1" ht="15.75" thickBot="1" x14ac:dyDescent="0.3">
      <c r="A124" s="3">
        <v>0</v>
      </c>
    </row>
    <row r="125" spans="1:1" ht="15.75" thickBot="1" x14ac:dyDescent="0.3">
      <c r="A125" s="3">
        <v>1</v>
      </c>
    </row>
    <row r="126" spans="1:1" x14ac:dyDescent="0.25">
      <c r="A126" s="4" t="s">
        <v>65</v>
      </c>
    </row>
    <row r="127" spans="1:1" ht="15.75" thickBot="1" x14ac:dyDescent="0.3">
      <c r="A127" s="1" t="s">
        <v>66</v>
      </c>
    </row>
    <row r="128" spans="1:1" ht="15.75" thickBot="1" x14ac:dyDescent="0.3">
      <c r="A128" s="2">
        <v>0</v>
      </c>
    </row>
    <row r="129" spans="1:1" ht="15.75" thickBot="1" x14ac:dyDescent="0.3">
      <c r="A129" t="s">
        <v>67</v>
      </c>
    </row>
    <row r="130" spans="1:1" ht="15.75" thickBot="1" x14ac:dyDescent="0.3">
      <c r="A130" s="3">
        <v>0</v>
      </c>
    </row>
    <row r="131" spans="1:1" ht="15.75" thickBot="1" x14ac:dyDescent="0.3">
      <c r="A131" s="3">
        <v>1</v>
      </c>
    </row>
    <row r="132" spans="1:1" x14ac:dyDescent="0.25">
      <c r="A132" s="4" t="s">
        <v>68</v>
      </c>
    </row>
    <row r="133" spans="1:1" ht="15.75" thickBot="1" x14ac:dyDescent="0.3">
      <c r="A133" s="1" t="s">
        <v>69</v>
      </c>
    </row>
    <row r="134" spans="1:1" ht="15.75" thickBot="1" x14ac:dyDescent="0.3">
      <c r="A134" s="2">
        <v>0</v>
      </c>
    </row>
    <row r="135" spans="1:1" ht="15.75" thickBot="1" x14ac:dyDescent="0.3">
      <c r="A135" t="s">
        <v>70</v>
      </c>
    </row>
    <row r="136" spans="1:1" ht="15.75" thickBot="1" x14ac:dyDescent="0.3">
      <c r="A136" s="3">
        <v>0</v>
      </c>
    </row>
    <row r="137" spans="1:1" ht="15.75" thickBot="1" x14ac:dyDescent="0.3">
      <c r="A137" s="3">
        <v>1</v>
      </c>
    </row>
    <row r="138" spans="1:1" x14ac:dyDescent="0.25">
      <c r="A138" s="4" t="s">
        <v>71</v>
      </c>
    </row>
    <row r="139" spans="1:1" ht="15.75" thickBot="1" x14ac:dyDescent="0.3">
      <c r="A139" t="s">
        <v>72</v>
      </c>
    </row>
    <row r="140" spans="1:1" ht="15.75" thickBot="1" x14ac:dyDescent="0.3">
      <c r="A140" s="2">
        <v>0</v>
      </c>
    </row>
    <row r="141" spans="1:1" ht="15.75" thickBot="1" x14ac:dyDescent="0.3">
      <c r="A141" t="s">
        <v>73</v>
      </c>
    </row>
    <row r="142" spans="1:1" ht="15.75" thickBot="1" x14ac:dyDescent="0.3">
      <c r="A142" s="3">
        <v>0</v>
      </c>
    </row>
    <row r="143" spans="1:1" ht="15.75" thickBot="1" x14ac:dyDescent="0.3">
      <c r="A143" s="3">
        <v>1</v>
      </c>
    </row>
    <row r="144" spans="1:1" x14ac:dyDescent="0.25">
      <c r="A144" s="4" t="s">
        <v>74</v>
      </c>
    </row>
    <row r="145" spans="1:1" ht="15.75" thickBot="1" x14ac:dyDescent="0.3">
      <c r="A145" s="5" t="s">
        <v>75</v>
      </c>
    </row>
    <row r="146" spans="1:1" ht="15.75" thickBot="1" x14ac:dyDescent="0.3">
      <c r="A146" s="2">
        <v>0</v>
      </c>
    </row>
    <row r="147" spans="1:1" ht="15.75" thickBot="1" x14ac:dyDescent="0.3">
      <c r="A147" t="s">
        <v>76</v>
      </c>
    </row>
    <row r="148" spans="1:1" ht="15.75" thickBot="1" x14ac:dyDescent="0.3">
      <c r="A148" s="3">
        <v>0</v>
      </c>
    </row>
    <row r="149" spans="1:1" ht="15.75" thickBot="1" x14ac:dyDescent="0.3">
      <c r="A149" s="3">
        <v>1</v>
      </c>
    </row>
    <row r="150" spans="1:1" x14ac:dyDescent="0.25">
      <c r="A150" s="4" t="s">
        <v>77</v>
      </c>
    </row>
    <row r="151" spans="1:1" ht="15.75" thickBot="1" x14ac:dyDescent="0.3">
      <c r="A151" t="s">
        <v>78</v>
      </c>
    </row>
    <row r="152" spans="1:1" ht="15.75" thickBot="1" x14ac:dyDescent="0.3">
      <c r="A152" s="2">
        <v>0</v>
      </c>
    </row>
    <row r="153" spans="1:1" ht="15.75" thickBot="1" x14ac:dyDescent="0.3">
      <c r="A153" t="s">
        <v>79</v>
      </c>
    </row>
    <row r="154" spans="1:1" ht="15.75" thickBot="1" x14ac:dyDescent="0.3">
      <c r="A154" s="3">
        <v>0</v>
      </c>
    </row>
    <row r="155" spans="1:1" ht="15.75" thickBot="1" x14ac:dyDescent="0.3">
      <c r="A155" s="3">
        <v>1</v>
      </c>
    </row>
    <row r="156" spans="1:1" x14ac:dyDescent="0.25">
      <c r="A156" s="4" t="s">
        <v>80</v>
      </c>
    </row>
    <row r="157" spans="1:1" ht="15.75" thickBot="1" x14ac:dyDescent="0.3">
      <c r="A157" s="5" t="s">
        <v>81</v>
      </c>
    </row>
    <row r="158" spans="1:1" ht="15.75" thickBot="1" x14ac:dyDescent="0.3">
      <c r="A158" s="2">
        <v>0</v>
      </c>
    </row>
    <row r="159" spans="1:1" ht="15.75" thickBot="1" x14ac:dyDescent="0.3">
      <c r="A159" t="s">
        <v>82</v>
      </c>
    </row>
    <row r="160" spans="1:1" ht="15.75" thickBot="1" x14ac:dyDescent="0.3">
      <c r="A160" s="3">
        <v>0</v>
      </c>
    </row>
    <row r="161" spans="1:1" ht="15.75" thickBot="1" x14ac:dyDescent="0.3">
      <c r="A161" s="3">
        <v>1</v>
      </c>
    </row>
    <row r="162" spans="1:1" x14ac:dyDescent="0.25">
      <c r="A162" s="4" t="s">
        <v>83</v>
      </c>
    </row>
    <row r="163" spans="1:1" ht="15.75" thickBot="1" x14ac:dyDescent="0.3">
      <c r="A163" t="s">
        <v>84</v>
      </c>
    </row>
    <row r="164" spans="1:1" ht="15.75" thickBot="1" x14ac:dyDescent="0.3">
      <c r="A164" s="2">
        <v>0</v>
      </c>
    </row>
    <row r="165" spans="1:1" ht="15.75" thickBot="1" x14ac:dyDescent="0.3">
      <c r="A165" t="s">
        <v>85</v>
      </c>
    </row>
    <row r="166" spans="1:1" ht="15.75" thickBot="1" x14ac:dyDescent="0.3">
      <c r="A166" s="3">
        <v>0</v>
      </c>
    </row>
    <row r="167" spans="1:1" ht="15.75" thickBot="1" x14ac:dyDescent="0.3">
      <c r="A167" s="3">
        <v>1</v>
      </c>
    </row>
    <row r="168" spans="1:1" x14ac:dyDescent="0.25">
      <c r="A168" s="4" t="s">
        <v>86</v>
      </c>
    </row>
    <row r="169" spans="1:1" ht="15.75" thickBot="1" x14ac:dyDescent="0.3">
      <c r="A169" t="s">
        <v>87</v>
      </c>
    </row>
    <row r="170" spans="1:1" ht="15.75" thickBot="1" x14ac:dyDescent="0.3">
      <c r="A170" s="2">
        <v>0</v>
      </c>
    </row>
    <row r="171" spans="1:1" ht="15.75" thickBot="1" x14ac:dyDescent="0.3">
      <c r="A171" t="s">
        <v>88</v>
      </c>
    </row>
    <row r="172" spans="1:1" ht="15.75" thickBot="1" x14ac:dyDescent="0.3">
      <c r="A172" s="3">
        <v>0</v>
      </c>
    </row>
    <row r="173" spans="1:1" ht="15.75" thickBot="1" x14ac:dyDescent="0.3">
      <c r="A173" s="3">
        <v>1</v>
      </c>
    </row>
    <row r="174" spans="1:1" x14ac:dyDescent="0.25">
      <c r="A174" s="4" t="s">
        <v>89</v>
      </c>
    </row>
    <row r="175" spans="1:1" ht="15.75" thickBot="1" x14ac:dyDescent="0.3">
      <c r="A175" t="s">
        <v>90</v>
      </c>
    </row>
    <row r="176" spans="1:1" ht="15.75" thickBot="1" x14ac:dyDescent="0.3">
      <c r="A176" s="2">
        <v>0</v>
      </c>
    </row>
    <row r="177" spans="1:1" ht="15.75" thickBot="1" x14ac:dyDescent="0.3">
      <c r="A177" t="s">
        <v>91</v>
      </c>
    </row>
    <row r="178" spans="1:1" ht="15.75" thickBot="1" x14ac:dyDescent="0.3">
      <c r="A178" s="3">
        <v>0</v>
      </c>
    </row>
    <row r="179" spans="1:1" ht="15.75" thickBot="1" x14ac:dyDescent="0.3">
      <c r="A179" s="3">
        <v>1</v>
      </c>
    </row>
    <row r="180" spans="1:1" x14ac:dyDescent="0.25">
      <c r="A180" s="4" t="s">
        <v>92</v>
      </c>
    </row>
    <row r="181" spans="1:1" ht="15.75" thickBot="1" x14ac:dyDescent="0.3">
      <c r="A181" t="s">
        <v>93</v>
      </c>
    </row>
    <row r="182" spans="1:1" ht="15.75" thickBot="1" x14ac:dyDescent="0.3">
      <c r="A182" s="2">
        <v>0</v>
      </c>
    </row>
    <row r="183" spans="1:1" ht="15.75" thickBot="1" x14ac:dyDescent="0.3">
      <c r="A183" t="s">
        <v>94</v>
      </c>
    </row>
    <row r="184" spans="1:1" ht="15.75" thickBot="1" x14ac:dyDescent="0.3">
      <c r="A184" s="3">
        <v>0</v>
      </c>
    </row>
    <row r="185" spans="1:1" ht="15.75" thickBot="1" x14ac:dyDescent="0.3">
      <c r="A185" s="3">
        <v>1</v>
      </c>
    </row>
    <row r="186" spans="1:1" x14ac:dyDescent="0.25">
      <c r="A186" s="4" t="s">
        <v>95</v>
      </c>
    </row>
    <row r="187" spans="1:1" ht="15.75" thickBot="1" x14ac:dyDescent="0.3">
      <c r="A187" s="5" t="s">
        <v>96</v>
      </c>
    </row>
    <row r="188" spans="1:1" ht="15.75" thickBot="1" x14ac:dyDescent="0.3">
      <c r="A188" s="2">
        <v>0</v>
      </c>
    </row>
    <row r="189" spans="1:1" ht="15.75" thickBot="1" x14ac:dyDescent="0.3">
      <c r="A189" t="s">
        <v>97</v>
      </c>
    </row>
    <row r="190" spans="1:1" ht="15.75" thickBot="1" x14ac:dyDescent="0.3">
      <c r="A190" s="3">
        <v>0</v>
      </c>
    </row>
    <row r="191" spans="1:1" ht="15.75" thickBot="1" x14ac:dyDescent="0.3">
      <c r="A191" s="3">
        <v>1</v>
      </c>
    </row>
    <row r="192" spans="1:1" x14ac:dyDescent="0.25">
      <c r="A192" s="4" t="s">
        <v>98</v>
      </c>
    </row>
    <row r="193" spans="1:1" ht="15.75" thickBot="1" x14ac:dyDescent="0.3">
      <c r="A193" s="1" t="s">
        <v>99</v>
      </c>
    </row>
    <row r="194" spans="1:1" ht="15.75" thickBot="1" x14ac:dyDescent="0.3">
      <c r="A194" s="2">
        <v>0</v>
      </c>
    </row>
    <row r="195" spans="1:1" ht="15.75" thickBot="1" x14ac:dyDescent="0.3">
      <c r="A195" t="s">
        <v>100</v>
      </c>
    </row>
    <row r="196" spans="1:1" ht="15.75" thickBot="1" x14ac:dyDescent="0.3">
      <c r="A196" s="3">
        <v>0</v>
      </c>
    </row>
    <row r="197" spans="1:1" ht="15.75" thickBot="1" x14ac:dyDescent="0.3">
      <c r="A197" s="3">
        <v>1</v>
      </c>
    </row>
    <row r="198" spans="1:1" x14ac:dyDescent="0.25">
      <c r="A198" s="4" t="s">
        <v>101</v>
      </c>
    </row>
    <row r="199" spans="1:1" ht="15.75" thickBot="1" x14ac:dyDescent="0.3">
      <c r="A199" s="5" t="s">
        <v>102</v>
      </c>
    </row>
    <row r="200" spans="1:1" ht="15.75" thickBot="1" x14ac:dyDescent="0.3">
      <c r="A200" s="2">
        <v>0</v>
      </c>
    </row>
    <row r="201" spans="1:1" ht="15.75" thickBot="1" x14ac:dyDescent="0.3">
      <c r="A201" t="s">
        <v>103</v>
      </c>
    </row>
    <row r="202" spans="1:1" ht="15.75" thickBot="1" x14ac:dyDescent="0.3">
      <c r="A202" s="3">
        <v>0</v>
      </c>
    </row>
    <row r="203" spans="1:1" ht="15.75" thickBot="1" x14ac:dyDescent="0.3">
      <c r="A203" s="3">
        <v>1</v>
      </c>
    </row>
    <row r="204" spans="1:1" x14ac:dyDescent="0.25">
      <c r="A204" s="4" t="s">
        <v>104</v>
      </c>
    </row>
    <row r="205" spans="1:1" ht="15.75" thickBot="1" x14ac:dyDescent="0.3">
      <c r="A205" s="1" t="s">
        <v>105</v>
      </c>
    </row>
    <row r="206" spans="1:1" ht="15.75" thickBot="1" x14ac:dyDescent="0.3">
      <c r="A206" s="2">
        <v>0</v>
      </c>
    </row>
    <row r="207" spans="1:1" ht="15.75" thickBot="1" x14ac:dyDescent="0.3">
      <c r="A207" t="s">
        <v>106</v>
      </c>
    </row>
    <row r="208" spans="1:1" ht="15.75" thickBot="1" x14ac:dyDescent="0.3">
      <c r="A208" s="3">
        <v>0</v>
      </c>
    </row>
    <row r="209" spans="1:1" ht="15.75" thickBot="1" x14ac:dyDescent="0.3">
      <c r="A209" s="3">
        <v>1</v>
      </c>
    </row>
    <row r="210" spans="1:1" x14ac:dyDescent="0.25">
      <c r="A210" s="4" t="s">
        <v>107</v>
      </c>
    </row>
    <row r="211" spans="1:1" ht="15.75" thickBot="1" x14ac:dyDescent="0.3">
      <c r="A211" t="s">
        <v>108</v>
      </c>
    </row>
    <row r="212" spans="1:1" ht="15.75" thickBot="1" x14ac:dyDescent="0.3">
      <c r="A212" s="2">
        <v>0</v>
      </c>
    </row>
    <row r="213" spans="1:1" ht="15.75" thickBot="1" x14ac:dyDescent="0.3">
      <c r="A213" t="s">
        <v>109</v>
      </c>
    </row>
    <row r="214" spans="1:1" ht="15.75" thickBot="1" x14ac:dyDescent="0.3">
      <c r="A214" s="3">
        <v>0</v>
      </c>
    </row>
    <row r="215" spans="1:1" ht="15.75" thickBot="1" x14ac:dyDescent="0.3">
      <c r="A215" s="3">
        <v>1</v>
      </c>
    </row>
    <row r="216" spans="1:1" x14ac:dyDescent="0.25">
      <c r="A216" s="4" t="s">
        <v>110</v>
      </c>
    </row>
    <row r="217" spans="1:1" ht="15.75" thickBot="1" x14ac:dyDescent="0.3">
      <c r="A217" s="5" t="s">
        <v>111</v>
      </c>
    </row>
    <row r="218" spans="1:1" ht="15.75" thickBot="1" x14ac:dyDescent="0.3">
      <c r="A218" s="2">
        <v>0</v>
      </c>
    </row>
    <row r="219" spans="1:1" ht="15.75" thickBot="1" x14ac:dyDescent="0.3">
      <c r="A219" t="s">
        <v>112</v>
      </c>
    </row>
    <row r="220" spans="1:1" ht="15.75" thickBot="1" x14ac:dyDescent="0.3">
      <c r="A220" s="3">
        <v>0</v>
      </c>
    </row>
    <row r="221" spans="1:1" ht="15.75" thickBot="1" x14ac:dyDescent="0.3">
      <c r="A221" s="3">
        <v>1</v>
      </c>
    </row>
    <row r="222" spans="1:1" x14ac:dyDescent="0.25">
      <c r="A222" s="4" t="s">
        <v>113</v>
      </c>
    </row>
    <row r="223" spans="1:1" ht="15.75" thickBot="1" x14ac:dyDescent="0.3">
      <c r="A223" t="s">
        <v>114</v>
      </c>
    </row>
    <row r="224" spans="1:1" ht="15.75" thickBot="1" x14ac:dyDescent="0.3">
      <c r="A224" s="2">
        <v>0</v>
      </c>
    </row>
    <row r="225" spans="1:1" ht="15.75" thickBot="1" x14ac:dyDescent="0.3">
      <c r="A225" t="s">
        <v>115</v>
      </c>
    </row>
    <row r="226" spans="1:1" ht="15.75" thickBot="1" x14ac:dyDescent="0.3">
      <c r="A226" s="3">
        <v>0</v>
      </c>
    </row>
    <row r="227" spans="1:1" ht="15.75" thickBot="1" x14ac:dyDescent="0.3">
      <c r="A227" s="3">
        <v>1</v>
      </c>
    </row>
    <row r="228" spans="1:1" x14ac:dyDescent="0.25">
      <c r="A228" s="4" t="s">
        <v>116</v>
      </c>
    </row>
    <row r="229" spans="1:1" ht="15.75" thickBot="1" x14ac:dyDescent="0.3">
      <c r="A229" t="s">
        <v>117</v>
      </c>
    </row>
    <row r="230" spans="1:1" ht="15.75" thickBot="1" x14ac:dyDescent="0.3">
      <c r="A230" s="2">
        <v>0</v>
      </c>
    </row>
    <row r="231" spans="1:1" ht="15.75" thickBot="1" x14ac:dyDescent="0.3">
      <c r="A231" t="s">
        <v>118</v>
      </c>
    </row>
    <row r="232" spans="1:1" ht="15.75" thickBot="1" x14ac:dyDescent="0.3">
      <c r="A232" s="3">
        <v>0</v>
      </c>
    </row>
    <row r="233" spans="1:1" ht="15.75" thickBot="1" x14ac:dyDescent="0.3">
      <c r="A233" s="3">
        <v>1</v>
      </c>
    </row>
    <row r="234" spans="1:1" x14ac:dyDescent="0.25">
      <c r="A234" s="4" t="s">
        <v>119</v>
      </c>
    </row>
    <row r="235" spans="1:1" ht="15.75" thickBot="1" x14ac:dyDescent="0.3">
      <c r="A235" t="s">
        <v>120</v>
      </c>
    </row>
    <row r="236" spans="1:1" ht="15.75" thickBot="1" x14ac:dyDescent="0.3">
      <c r="A236" s="2">
        <v>0</v>
      </c>
    </row>
    <row r="237" spans="1:1" ht="15.75" thickBot="1" x14ac:dyDescent="0.3">
      <c r="A237" t="s">
        <v>121</v>
      </c>
    </row>
    <row r="238" spans="1:1" ht="15.75" thickBot="1" x14ac:dyDescent="0.3">
      <c r="A238" s="3">
        <v>0</v>
      </c>
    </row>
    <row r="239" spans="1:1" ht="15.75" thickBot="1" x14ac:dyDescent="0.3">
      <c r="A239" s="3">
        <v>1</v>
      </c>
    </row>
    <row r="240" spans="1:1" x14ac:dyDescent="0.25">
      <c r="A240" s="4" t="s">
        <v>122</v>
      </c>
    </row>
    <row r="241" spans="1:1" ht="15.75" thickBot="1" x14ac:dyDescent="0.3">
      <c r="A241" t="s">
        <v>123</v>
      </c>
    </row>
    <row r="242" spans="1:1" ht="15.75" thickBot="1" x14ac:dyDescent="0.3">
      <c r="A242" s="2">
        <v>0</v>
      </c>
    </row>
    <row r="243" spans="1:1" ht="15.75" thickBot="1" x14ac:dyDescent="0.3">
      <c r="A243" t="s">
        <v>124</v>
      </c>
    </row>
    <row r="244" spans="1:1" ht="15.75" thickBot="1" x14ac:dyDescent="0.3">
      <c r="A244" s="3">
        <v>0</v>
      </c>
    </row>
    <row r="245" spans="1:1" ht="15.75" thickBot="1" x14ac:dyDescent="0.3">
      <c r="A245" s="3">
        <v>1</v>
      </c>
    </row>
    <row r="246" spans="1:1" x14ac:dyDescent="0.25">
      <c r="A246" s="4" t="s">
        <v>125</v>
      </c>
    </row>
    <row r="247" spans="1:1" ht="15.75" thickBot="1" x14ac:dyDescent="0.3">
      <c r="A247" s="5" t="s">
        <v>126</v>
      </c>
    </row>
    <row r="248" spans="1:1" ht="15.75" thickBot="1" x14ac:dyDescent="0.3">
      <c r="A248" s="2">
        <v>0</v>
      </c>
    </row>
    <row r="249" spans="1:1" ht="15.75" thickBot="1" x14ac:dyDescent="0.3">
      <c r="A249" t="s">
        <v>127</v>
      </c>
    </row>
    <row r="250" spans="1:1" ht="15.75" thickBot="1" x14ac:dyDescent="0.3">
      <c r="A250" s="3">
        <v>0</v>
      </c>
    </row>
    <row r="251" spans="1:1" ht="15.75" thickBot="1" x14ac:dyDescent="0.3">
      <c r="A251" s="3">
        <v>1</v>
      </c>
    </row>
    <row r="252" spans="1:1" x14ac:dyDescent="0.25">
      <c r="A252" s="4" t="s">
        <v>128</v>
      </c>
    </row>
    <row r="253" spans="1:1" ht="15.75" thickBot="1" x14ac:dyDescent="0.3">
      <c r="A253" s="5" t="s">
        <v>129</v>
      </c>
    </row>
    <row r="254" spans="1:1" ht="15.75" thickBot="1" x14ac:dyDescent="0.3">
      <c r="A254" s="2">
        <v>0</v>
      </c>
    </row>
    <row r="255" spans="1:1" ht="15.75" thickBot="1" x14ac:dyDescent="0.3">
      <c r="A255" t="s">
        <v>130</v>
      </c>
    </row>
    <row r="256" spans="1:1" ht="15.75" thickBot="1" x14ac:dyDescent="0.3">
      <c r="A256" s="3">
        <v>0</v>
      </c>
    </row>
    <row r="257" spans="1:1" ht="15.75" thickBot="1" x14ac:dyDescent="0.3">
      <c r="A257" s="3">
        <v>1</v>
      </c>
    </row>
    <row r="258" spans="1:1" x14ac:dyDescent="0.25">
      <c r="A258" s="4" t="s">
        <v>131</v>
      </c>
    </row>
    <row r="259" spans="1:1" ht="15.75" thickBot="1" x14ac:dyDescent="0.3">
      <c r="A259" s="5" t="s">
        <v>132</v>
      </c>
    </row>
    <row r="260" spans="1:1" ht="15.75" thickBot="1" x14ac:dyDescent="0.3">
      <c r="A260" s="2">
        <v>0</v>
      </c>
    </row>
    <row r="261" spans="1:1" ht="15.75" thickBot="1" x14ac:dyDescent="0.3">
      <c r="A261" t="s">
        <v>133</v>
      </c>
    </row>
    <row r="262" spans="1:1" ht="15.75" thickBot="1" x14ac:dyDescent="0.3">
      <c r="A262" s="3">
        <v>0</v>
      </c>
    </row>
    <row r="263" spans="1:1" ht="15.75" thickBot="1" x14ac:dyDescent="0.3">
      <c r="A263" s="3">
        <v>1</v>
      </c>
    </row>
    <row r="264" spans="1:1" x14ac:dyDescent="0.25">
      <c r="A264" s="4" t="s">
        <v>134</v>
      </c>
    </row>
    <row r="265" spans="1:1" ht="15.75" thickBot="1" x14ac:dyDescent="0.3">
      <c r="A265" t="s">
        <v>135</v>
      </c>
    </row>
    <row r="266" spans="1:1" ht="15.75" thickBot="1" x14ac:dyDescent="0.3">
      <c r="A266" s="2">
        <v>0</v>
      </c>
    </row>
    <row r="267" spans="1:1" ht="15.75" thickBot="1" x14ac:dyDescent="0.3">
      <c r="A267" t="s">
        <v>136</v>
      </c>
    </row>
    <row r="268" spans="1:1" ht="15.75" thickBot="1" x14ac:dyDescent="0.3">
      <c r="A268" s="3">
        <v>0</v>
      </c>
    </row>
    <row r="269" spans="1:1" ht="15.75" thickBot="1" x14ac:dyDescent="0.3">
      <c r="A269" s="3">
        <v>1</v>
      </c>
    </row>
    <row r="270" spans="1:1" x14ac:dyDescent="0.25">
      <c r="A270" s="4" t="s">
        <v>137</v>
      </c>
    </row>
    <row r="271" spans="1:1" ht="15.75" thickBot="1" x14ac:dyDescent="0.3">
      <c r="A271" t="s">
        <v>138</v>
      </c>
    </row>
    <row r="272" spans="1:1" ht="15.75" thickBot="1" x14ac:dyDescent="0.3">
      <c r="A272" s="2">
        <v>0</v>
      </c>
    </row>
    <row r="273" spans="1:1" ht="15.75" thickBot="1" x14ac:dyDescent="0.3">
      <c r="A273" t="s">
        <v>139</v>
      </c>
    </row>
    <row r="274" spans="1:1" ht="15.75" thickBot="1" x14ac:dyDescent="0.3">
      <c r="A274" s="3">
        <v>0</v>
      </c>
    </row>
    <row r="275" spans="1:1" ht="15.75" thickBot="1" x14ac:dyDescent="0.3">
      <c r="A275" s="3">
        <v>1</v>
      </c>
    </row>
    <row r="276" spans="1:1" x14ac:dyDescent="0.25">
      <c r="A276" s="4" t="s">
        <v>140</v>
      </c>
    </row>
    <row r="277" spans="1:1" ht="15.75" thickBot="1" x14ac:dyDescent="0.3">
      <c r="A277" s="1" t="s">
        <v>141</v>
      </c>
    </row>
    <row r="278" spans="1:1" ht="15.75" thickBot="1" x14ac:dyDescent="0.3">
      <c r="A278" s="2">
        <v>0</v>
      </c>
    </row>
    <row r="279" spans="1:1" ht="15.75" thickBot="1" x14ac:dyDescent="0.3">
      <c r="A279" t="s">
        <v>142</v>
      </c>
    </row>
    <row r="280" spans="1:1" ht="15.75" thickBot="1" x14ac:dyDescent="0.3">
      <c r="A280" s="3">
        <v>0</v>
      </c>
    </row>
    <row r="281" spans="1:1" ht="15.75" thickBot="1" x14ac:dyDescent="0.3">
      <c r="A281" s="3">
        <v>1</v>
      </c>
    </row>
    <row r="282" spans="1:1" x14ac:dyDescent="0.25">
      <c r="A282" s="4" t="s">
        <v>143</v>
      </c>
    </row>
    <row r="283" spans="1:1" ht="15.75" thickBot="1" x14ac:dyDescent="0.3">
      <c r="A283" t="s">
        <v>144</v>
      </c>
    </row>
    <row r="284" spans="1:1" ht="15.75" thickBot="1" x14ac:dyDescent="0.3">
      <c r="A284" s="2">
        <v>0</v>
      </c>
    </row>
    <row r="285" spans="1:1" ht="15.75" thickBot="1" x14ac:dyDescent="0.3">
      <c r="A285" t="s">
        <v>145</v>
      </c>
    </row>
    <row r="286" spans="1:1" ht="15.75" thickBot="1" x14ac:dyDescent="0.3">
      <c r="A286" s="3">
        <v>0</v>
      </c>
    </row>
    <row r="287" spans="1:1" ht="15.75" thickBot="1" x14ac:dyDescent="0.3">
      <c r="A287" s="3">
        <v>1</v>
      </c>
    </row>
    <row r="288" spans="1:1" x14ac:dyDescent="0.25">
      <c r="A288" s="4" t="s">
        <v>146</v>
      </c>
    </row>
    <row r="289" spans="1:1" ht="15.75" thickBot="1" x14ac:dyDescent="0.3">
      <c r="A289" s="5" t="s">
        <v>147</v>
      </c>
    </row>
    <row r="290" spans="1:1" ht="15.75" thickBot="1" x14ac:dyDescent="0.3">
      <c r="A290" s="2">
        <v>0</v>
      </c>
    </row>
    <row r="291" spans="1:1" ht="15.75" thickBot="1" x14ac:dyDescent="0.3">
      <c r="A291" t="s">
        <v>148</v>
      </c>
    </row>
    <row r="292" spans="1:1" ht="15.75" thickBot="1" x14ac:dyDescent="0.3">
      <c r="A292" s="3">
        <v>0</v>
      </c>
    </row>
    <row r="293" spans="1:1" ht="15.75" thickBot="1" x14ac:dyDescent="0.3">
      <c r="A293" s="3">
        <v>1</v>
      </c>
    </row>
    <row r="294" spans="1:1" x14ac:dyDescent="0.25">
      <c r="A294" s="4" t="s">
        <v>149</v>
      </c>
    </row>
    <row r="295" spans="1:1" ht="15.75" thickBot="1" x14ac:dyDescent="0.3">
      <c r="A295" s="5" t="s">
        <v>150</v>
      </c>
    </row>
    <row r="296" spans="1:1" ht="15.75" thickBot="1" x14ac:dyDescent="0.3">
      <c r="A296" s="2">
        <v>0</v>
      </c>
    </row>
    <row r="297" spans="1:1" ht="15.75" thickBot="1" x14ac:dyDescent="0.3">
      <c r="A297" t="s">
        <v>151</v>
      </c>
    </row>
    <row r="298" spans="1:1" ht="15.75" thickBot="1" x14ac:dyDescent="0.3">
      <c r="A298" s="3">
        <v>0</v>
      </c>
    </row>
    <row r="299" spans="1:1" ht="15.75" thickBot="1" x14ac:dyDescent="0.3">
      <c r="A299" s="3">
        <v>1</v>
      </c>
    </row>
    <row r="300" spans="1:1" x14ac:dyDescent="0.25">
      <c r="A300" s="4" t="s">
        <v>152</v>
      </c>
    </row>
    <row r="301" spans="1:1" ht="15.75" thickBot="1" x14ac:dyDescent="0.3">
      <c r="A301" s="1" t="s">
        <v>153</v>
      </c>
    </row>
    <row r="302" spans="1:1" ht="15.75" thickBot="1" x14ac:dyDescent="0.3">
      <c r="A302" s="2">
        <v>0</v>
      </c>
    </row>
    <row r="303" spans="1:1" ht="15.75" thickBot="1" x14ac:dyDescent="0.3">
      <c r="A303" t="s">
        <v>154</v>
      </c>
    </row>
    <row r="304" spans="1:1" ht="15.75" thickBot="1" x14ac:dyDescent="0.3">
      <c r="A304" s="3">
        <v>0</v>
      </c>
    </row>
    <row r="305" spans="1:1" ht="15.75" thickBot="1" x14ac:dyDescent="0.3">
      <c r="A305" s="3">
        <v>1</v>
      </c>
    </row>
    <row r="306" spans="1:1" x14ac:dyDescent="0.25">
      <c r="A306" s="4" t="s">
        <v>155</v>
      </c>
    </row>
    <row r="307" spans="1:1" ht="15.75" thickBot="1" x14ac:dyDescent="0.3">
      <c r="A307" t="s">
        <v>156</v>
      </c>
    </row>
    <row r="308" spans="1:1" ht="15.75" thickBot="1" x14ac:dyDescent="0.3">
      <c r="A308" s="2">
        <v>0</v>
      </c>
    </row>
    <row r="309" spans="1:1" ht="15.75" thickBot="1" x14ac:dyDescent="0.3">
      <c r="A309" t="s">
        <v>157</v>
      </c>
    </row>
    <row r="310" spans="1:1" ht="15.75" thickBot="1" x14ac:dyDescent="0.3">
      <c r="A310" s="3">
        <v>0</v>
      </c>
    </row>
    <row r="311" spans="1:1" ht="15.75" thickBot="1" x14ac:dyDescent="0.3">
      <c r="A311" s="3">
        <v>1</v>
      </c>
    </row>
    <row r="312" spans="1:1" x14ac:dyDescent="0.25">
      <c r="A312" s="4" t="s">
        <v>158</v>
      </c>
    </row>
    <row r="313" spans="1:1" ht="15.75" thickBot="1" x14ac:dyDescent="0.3">
      <c r="A313" t="s">
        <v>159</v>
      </c>
    </row>
    <row r="314" spans="1:1" ht="15.75" thickBot="1" x14ac:dyDescent="0.3">
      <c r="A314" s="2">
        <v>0</v>
      </c>
    </row>
    <row r="315" spans="1:1" ht="15.75" thickBot="1" x14ac:dyDescent="0.3">
      <c r="A315" t="s">
        <v>160</v>
      </c>
    </row>
    <row r="316" spans="1:1" ht="15.75" thickBot="1" x14ac:dyDescent="0.3">
      <c r="A316" s="3">
        <v>0</v>
      </c>
    </row>
    <row r="317" spans="1:1" ht="15.75" thickBot="1" x14ac:dyDescent="0.3">
      <c r="A317" s="3">
        <v>1</v>
      </c>
    </row>
    <row r="318" spans="1:1" x14ac:dyDescent="0.25">
      <c r="A318" s="4" t="s">
        <v>161</v>
      </c>
    </row>
    <row r="319" spans="1:1" ht="15.75" thickBot="1" x14ac:dyDescent="0.3">
      <c r="A319" s="1" t="s">
        <v>162</v>
      </c>
    </row>
    <row r="320" spans="1:1" ht="15.75" thickBot="1" x14ac:dyDescent="0.3">
      <c r="A320" s="2">
        <v>0</v>
      </c>
    </row>
    <row r="321" spans="1:1" ht="15.75" thickBot="1" x14ac:dyDescent="0.3">
      <c r="A321" t="s">
        <v>163</v>
      </c>
    </row>
    <row r="322" spans="1:1" ht="15.75" thickBot="1" x14ac:dyDescent="0.3">
      <c r="A322" s="3">
        <v>0</v>
      </c>
    </row>
    <row r="323" spans="1:1" ht="15.75" thickBot="1" x14ac:dyDescent="0.3">
      <c r="A323" s="3">
        <v>1</v>
      </c>
    </row>
    <row r="324" spans="1:1" x14ac:dyDescent="0.25">
      <c r="A324" s="4" t="s">
        <v>164</v>
      </c>
    </row>
    <row r="325" spans="1:1" ht="15.75" thickBot="1" x14ac:dyDescent="0.3">
      <c r="A325" s="1" t="s">
        <v>165</v>
      </c>
    </row>
    <row r="326" spans="1:1" ht="15.75" thickBot="1" x14ac:dyDescent="0.3">
      <c r="A326" s="2">
        <v>0</v>
      </c>
    </row>
    <row r="327" spans="1:1" ht="15.75" thickBot="1" x14ac:dyDescent="0.3">
      <c r="A327" t="s">
        <v>166</v>
      </c>
    </row>
    <row r="328" spans="1:1" ht="15.75" thickBot="1" x14ac:dyDescent="0.3">
      <c r="A328" s="3">
        <v>0</v>
      </c>
    </row>
    <row r="329" spans="1:1" ht="15.75" thickBot="1" x14ac:dyDescent="0.3">
      <c r="A329" s="3">
        <v>1</v>
      </c>
    </row>
    <row r="330" spans="1:1" x14ac:dyDescent="0.25">
      <c r="A330" s="4" t="s">
        <v>167</v>
      </c>
    </row>
    <row r="331" spans="1:1" ht="15.75" thickBot="1" x14ac:dyDescent="0.3">
      <c r="A331" s="1" t="s">
        <v>168</v>
      </c>
    </row>
    <row r="332" spans="1:1" ht="15.75" thickBot="1" x14ac:dyDescent="0.3">
      <c r="A332" s="2">
        <v>0</v>
      </c>
    </row>
    <row r="333" spans="1:1" ht="15.75" thickBot="1" x14ac:dyDescent="0.3">
      <c r="A333" t="s">
        <v>169</v>
      </c>
    </row>
    <row r="334" spans="1:1" ht="15.75" thickBot="1" x14ac:dyDescent="0.3">
      <c r="A334" s="3">
        <v>0</v>
      </c>
    </row>
    <row r="335" spans="1:1" ht="15.75" thickBot="1" x14ac:dyDescent="0.3">
      <c r="A335" s="3">
        <v>1</v>
      </c>
    </row>
    <row r="336" spans="1:1" x14ac:dyDescent="0.25">
      <c r="A336" s="4" t="s">
        <v>170</v>
      </c>
    </row>
    <row r="337" spans="1:1" ht="15.75" thickBot="1" x14ac:dyDescent="0.3">
      <c r="A337" s="5" t="s">
        <v>171</v>
      </c>
    </row>
    <row r="338" spans="1:1" ht="15.75" thickBot="1" x14ac:dyDescent="0.3">
      <c r="A338" s="2">
        <v>0</v>
      </c>
    </row>
    <row r="339" spans="1:1" ht="15.75" thickBot="1" x14ac:dyDescent="0.3">
      <c r="A339" t="s">
        <v>172</v>
      </c>
    </row>
    <row r="340" spans="1:1" ht="15.75" thickBot="1" x14ac:dyDescent="0.3">
      <c r="A340" s="3">
        <v>0</v>
      </c>
    </row>
    <row r="341" spans="1:1" ht="15.75" thickBot="1" x14ac:dyDescent="0.3">
      <c r="A341" s="3">
        <v>1</v>
      </c>
    </row>
    <row r="342" spans="1:1" x14ac:dyDescent="0.25">
      <c r="A342" s="4" t="s">
        <v>173</v>
      </c>
    </row>
    <row r="343" spans="1:1" ht="15.75" thickBot="1" x14ac:dyDescent="0.3">
      <c r="A343" s="1" t="s">
        <v>174</v>
      </c>
    </row>
    <row r="344" spans="1:1" ht="15.75" thickBot="1" x14ac:dyDescent="0.3">
      <c r="A344" s="2">
        <v>0</v>
      </c>
    </row>
    <row r="345" spans="1:1" ht="15.75" thickBot="1" x14ac:dyDescent="0.3">
      <c r="A345" t="s">
        <v>175</v>
      </c>
    </row>
    <row r="346" spans="1:1" ht="15.75" thickBot="1" x14ac:dyDescent="0.3">
      <c r="A346" s="3">
        <v>0</v>
      </c>
    </row>
    <row r="347" spans="1:1" ht="15.75" thickBot="1" x14ac:dyDescent="0.3">
      <c r="A347" s="3">
        <v>1</v>
      </c>
    </row>
    <row r="348" spans="1:1" x14ac:dyDescent="0.25">
      <c r="A348" s="4" t="s">
        <v>176</v>
      </c>
    </row>
    <row r="349" spans="1:1" ht="15.75" thickBot="1" x14ac:dyDescent="0.3">
      <c r="A349" s="1" t="s">
        <v>177</v>
      </c>
    </row>
    <row r="350" spans="1:1" ht="15.75" thickBot="1" x14ac:dyDescent="0.3">
      <c r="A350" s="2">
        <v>0</v>
      </c>
    </row>
    <row r="351" spans="1:1" ht="15.75" thickBot="1" x14ac:dyDescent="0.3">
      <c r="A351" t="s">
        <v>178</v>
      </c>
    </row>
    <row r="352" spans="1:1" ht="15.75" thickBot="1" x14ac:dyDescent="0.3">
      <c r="A352" s="3">
        <v>0</v>
      </c>
    </row>
    <row r="353" spans="1:1" ht="15.75" thickBot="1" x14ac:dyDescent="0.3">
      <c r="A353" s="3">
        <v>1</v>
      </c>
    </row>
    <row r="354" spans="1:1" x14ac:dyDescent="0.25">
      <c r="A354" s="4" t="s">
        <v>179</v>
      </c>
    </row>
    <row r="355" spans="1:1" ht="15.75" thickBot="1" x14ac:dyDescent="0.3">
      <c r="A355" t="s">
        <v>180</v>
      </c>
    </row>
    <row r="356" spans="1:1" ht="15.75" thickBot="1" x14ac:dyDescent="0.3">
      <c r="A356" s="2">
        <v>0</v>
      </c>
    </row>
    <row r="357" spans="1:1" ht="15.75" thickBot="1" x14ac:dyDescent="0.3">
      <c r="A357" t="s">
        <v>181</v>
      </c>
    </row>
    <row r="358" spans="1:1" ht="15.75" thickBot="1" x14ac:dyDescent="0.3">
      <c r="A358" s="3">
        <v>0</v>
      </c>
    </row>
    <row r="359" spans="1:1" ht="15.75" thickBot="1" x14ac:dyDescent="0.3">
      <c r="A359" s="3">
        <v>1</v>
      </c>
    </row>
    <row r="360" spans="1:1" x14ac:dyDescent="0.25">
      <c r="A360" s="4" t="s">
        <v>182</v>
      </c>
    </row>
    <row r="361" spans="1:1" ht="15.75" thickBot="1" x14ac:dyDescent="0.3">
      <c r="A361" t="s">
        <v>183</v>
      </c>
    </row>
    <row r="362" spans="1:1" ht="15.75" thickBot="1" x14ac:dyDescent="0.3">
      <c r="A362" s="2">
        <v>0</v>
      </c>
    </row>
    <row r="363" spans="1:1" ht="15.75" thickBot="1" x14ac:dyDescent="0.3">
      <c r="A363" t="s">
        <v>184</v>
      </c>
    </row>
    <row r="364" spans="1:1" ht="15.75" thickBot="1" x14ac:dyDescent="0.3">
      <c r="A364" s="3">
        <v>0</v>
      </c>
    </row>
    <row r="365" spans="1:1" ht="15.75" thickBot="1" x14ac:dyDescent="0.3">
      <c r="A365" s="3">
        <v>1</v>
      </c>
    </row>
    <row r="366" spans="1:1" x14ac:dyDescent="0.25">
      <c r="A366" s="4" t="s">
        <v>185</v>
      </c>
    </row>
    <row r="367" spans="1:1" ht="15.75" thickBot="1" x14ac:dyDescent="0.3">
      <c r="A367" s="5" t="s">
        <v>186</v>
      </c>
    </row>
    <row r="368" spans="1:1" ht="15.75" thickBot="1" x14ac:dyDescent="0.3">
      <c r="A368" s="2">
        <v>0</v>
      </c>
    </row>
    <row r="369" spans="1:1" ht="15.75" thickBot="1" x14ac:dyDescent="0.3">
      <c r="A369" t="s">
        <v>187</v>
      </c>
    </row>
    <row r="370" spans="1:1" ht="15.75" thickBot="1" x14ac:dyDescent="0.3">
      <c r="A370" s="3">
        <v>0</v>
      </c>
    </row>
    <row r="371" spans="1:1" ht="15.75" thickBot="1" x14ac:dyDescent="0.3">
      <c r="A371" s="3">
        <v>1</v>
      </c>
    </row>
    <row r="372" spans="1:1" x14ac:dyDescent="0.25">
      <c r="A372" s="4" t="s">
        <v>188</v>
      </c>
    </row>
    <row r="373" spans="1:1" ht="15.75" thickBot="1" x14ac:dyDescent="0.3">
      <c r="A373" s="5" t="s">
        <v>189</v>
      </c>
    </row>
    <row r="374" spans="1:1" ht="15.75" thickBot="1" x14ac:dyDescent="0.3">
      <c r="A374" s="2">
        <v>0</v>
      </c>
    </row>
    <row r="375" spans="1:1" ht="15.75" thickBot="1" x14ac:dyDescent="0.3">
      <c r="A375" t="s">
        <v>190</v>
      </c>
    </row>
    <row r="376" spans="1:1" ht="15.75" thickBot="1" x14ac:dyDescent="0.3">
      <c r="A376" s="3">
        <v>0</v>
      </c>
    </row>
    <row r="377" spans="1:1" ht="15.75" thickBot="1" x14ac:dyDescent="0.3">
      <c r="A377" s="3">
        <v>1</v>
      </c>
    </row>
    <row r="378" spans="1:1" x14ac:dyDescent="0.25">
      <c r="A378" s="4" t="s">
        <v>191</v>
      </c>
    </row>
    <row r="379" spans="1:1" ht="15.75" thickBot="1" x14ac:dyDescent="0.3">
      <c r="A379" s="5" t="s">
        <v>192</v>
      </c>
    </row>
    <row r="380" spans="1:1" ht="15.75" thickBot="1" x14ac:dyDescent="0.3">
      <c r="A380" s="2">
        <v>0</v>
      </c>
    </row>
    <row r="381" spans="1:1" ht="15.75" thickBot="1" x14ac:dyDescent="0.3">
      <c r="A381" t="s">
        <v>193</v>
      </c>
    </row>
    <row r="382" spans="1:1" ht="15.75" thickBot="1" x14ac:dyDescent="0.3">
      <c r="A382" s="3">
        <v>0</v>
      </c>
    </row>
    <row r="383" spans="1:1" ht="15.75" thickBot="1" x14ac:dyDescent="0.3">
      <c r="A383" s="3">
        <v>1</v>
      </c>
    </row>
    <row r="384" spans="1:1" x14ac:dyDescent="0.25">
      <c r="A384" s="4" t="s">
        <v>194</v>
      </c>
    </row>
    <row r="385" spans="1:1" ht="15.75" thickBot="1" x14ac:dyDescent="0.3">
      <c r="A385" s="1" t="s">
        <v>195</v>
      </c>
    </row>
    <row r="386" spans="1:1" ht="15.75" thickBot="1" x14ac:dyDescent="0.3">
      <c r="A386" s="2">
        <v>0</v>
      </c>
    </row>
    <row r="387" spans="1:1" ht="15.75" thickBot="1" x14ac:dyDescent="0.3">
      <c r="A387" t="s">
        <v>196</v>
      </c>
    </row>
    <row r="388" spans="1:1" ht="15.75" thickBot="1" x14ac:dyDescent="0.3">
      <c r="A388" s="3">
        <v>0</v>
      </c>
    </row>
    <row r="389" spans="1:1" ht="15.75" thickBot="1" x14ac:dyDescent="0.3">
      <c r="A389" s="3">
        <v>1</v>
      </c>
    </row>
    <row r="390" spans="1:1" x14ac:dyDescent="0.25">
      <c r="A390" s="4" t="s">
        <v>197</v>
      </c>
    </row>
    <row r="391" spans="1:1" ht="15.75" thickBot="1" x14ac:dyDescent="0.3">
      <c r="A391" t="s">
        <v>198</v>
      </c>
    </row>
    <row r="392" spans="1:1" ht="15.75" thickBot="1" x14ac:dyDescent="0.3">
      <c r="A392" s="2">
        <v>0</v>
      </c>
    </row>
    <row r="393" spans="1:1" ht="15.75" thickBot="1" x14ac:dyDescent="0.3">
      <c r="A393" t="s">
        <v>199</v>
      </c>
    </row>
    <row r="394" spans="1:1" ht="15.75" thickBot="1" x14ac:dyDescent="0.3">
      <c r="A394" s="3">
        <v>0</v>
      </c>
    </row>
    <row r="395" spans="1:1" ht="15.75" thickBot="1" x14ac:dyDescent="0.3">
      <c r="A395" s="3">
        <v>1</v>
      </c>
    </row>
    <row r="396" spans="1:1" x14ac:dyDescent="0.25">
      <c r="A396" s="4" t="s">
        <v>200</v>
      </c>
    </row>
    <row r="397" spans="1:1" ht="15.75" thickBot="1" x14ac:dyDescent="0.3">
      <c r="A397" t="s">
        <v>201</v>
      </c>
    </row>
    <row r="398" spans="1:1" ht="15.75" thickBot="1" x14ac:dyDescent="0.3">
      <c r="A398" s="2">
        <v>0</v>
      </c>
    </row>
    <row r="399" spans="1:1" ht="15.75" thickBot="1" x14ac:dyDescent="0.3">
      <c r="A399" t="s">
        <v>202</v>
      </c>
    </row>
    <row r="400" spans="1:1" ht="15.75" thickBot="1" x14ac:dyDescent="0.3">
      <c r="A400" s="3">
        <v>0</v>
      </c>
    </row>
    <row r="401" spans="1:1" ht="15.75" thickBot="1" x14ac:dyDescent="0.3">
      <c r="A401" s="3">
        <v>1</v>
      </c>
    </row>
    <row r="402" spans="1:1" x14ac:dyDescent="0.25">
      <c r="A402" s="4" t="s">
        <v>203</v>
      </c>
    </row>
    <row r="403" spans="1:1" ht="15.75" thickBot="1" x14ac:dyDescent="0.3">
      <c r="A403" t="s">
        <v>204</v>
      </c>
    </row>
    <row r="404" spans="1:1" ht="15.75" thickBot="1" x14ac:dyDescent="0.3">
      <c r="A404" s="2">
        <v>0</v>
      </c>
    </row>
    <row r="405" spans="1:1" ht="15.75" thickBot="1" x14ac:dyDescent="0.3">
      <c r="A405" t="s">
        <v>205</v>
      </c>
    </row>
    <row r="406" spans="1:1" ht="15.75" thickBot="1" x14ac:dyDescent="0.3">
      <c r="A406" s="3">
        <v>0</v>
      </c>
    </row>
    <row r="407" spans="1:1" ht="15.75" thickBot="1" x14ac:dyDescent="0.3">
      <c r="A407" s="3">
        <v>1</v>
      </c>
    </row>
    <row r="408" spans="1:1" x14ac:dyDescent="0.25">
      <c r="A408" s="4" t="s">
        <v>206</v>
      </c>
    </row>
    <row r="409" spans="1:1" ht="15.75" thickBot="1" x14ac:dyDescent="0.3">
      <c r="A409" s="5" t="s">
        <v>207</v>
      </c>
    </row>
    <row r="410" spans="1:1" ht="15.75" thickBot="1" x14ac:dyDescent="0.3">
      <c r="A410" s="2">
        <v>0</v>
      </c>
    </row>
    <row r="411" spans="1:1" ht="15.75" thickBot="1" x14ac:dyDescent="0.3">
      <c r="A411" t="s">
        <v>208</v>
      </c>
    </row>
    <row r="412" spans="1:1" ht="15.75" thickBot="1" x14ac:dyDescent="0.3">
      <c r="A412" s="3">
        <v>0</v>
      </c>
    </row>
    <row r="413" spans="1:1" ht="15.75" thickBot="1" x14ac:dyDescent="0.3">
      <c r="A413" s="3">
        <v>1</v>
      </c>
    </row>
    <row r="414" spans="1:1" x14ac:dyDescent="0.25">
      <c r="A414" s="4" t="s">
        <v>209</v>
      </c>
    </row>
    <row r="415" spans="1:1" ht="15.75" thickBot="1" x14ac:dyDescent="0.3">
      <c r="A415" s="5" t="s">
        <v>210</v>
      </c>
    </row>
    <row r="416" spans="1:1" ht="15.75" thickBot="1" x14ac:dyDescent="0.3">
      <c r="A416" s="2">
        <v>0</v>
      </c>
    </row>
    <row r="417" spans="1:1" ht="15.75" thickBot="1" x14ac:dyDescent="0.3">
      <c r="A417" t="s">
        <v>211</v>
      </c>
    </row>
    <row r="418" spans="1:1" ht="15.75" thickBot="1" x14ac:dyDescent="0.3">
      <c r="A418" s="3">
        <v>0</v>
      </c>
    </row>
    <row r="419" spans="1:1" ht="15.75" thickBot="1" x14ac:dyDescent="0.3">
      <c r="A419" s="3">
        <v>1</v>
      </c>
    </row>
    <row r="420" spans="1:1" x14ac:dyDescent="0.25">
      <c r="A420" s="4" t="s">
        <v>212</v>
      </c>
    </row>
    <row r="421" spans="1:1" ht="15.75" thickBot="1" x14ac:dyDescent="0.3">
      <c r="A421" t="s">
        <v>213</v>
      </c>
    </row>
    <row r="422" spans="1:1" ht="15.75" thickBot="1" x14ac:dyDescent="0.3">
      <c r="A422" s="2">
        <v>0</v>
      </c>
    </row>
    <row r="423" spans="1:1" ht="15.75" thickBot="1" x14ac:dyDescent="0.3">
      <c r="A423" t="s">
        <v>214</v>
      </c>
    </row>
    <row r="424" spans="1:1" ht="15.75" thickBot="1" x14ac:dyDescent="0.3">
      <c r="A424" s="3">
        <v>0</v>
      </c>
    </row>
    <row r="425" spans="1:1" ht="15.75" thickBot="1" x14ac:dyDescent="0.3">
      <c r="A425" s="3">
        <v>1</v>
      </c>
    </row>
    <row r="426" spans="1:1" x14ac:dyDescent="0.25">
      <c r="A426" s="4" t="s">
        <v>215</v>
      </c>
    </row>
    <row r="427" spans="1:1" ht="15.75" thickBot="1" x14ac:dyDescent="0.3">
      <c r="A427" t="s">
        <v>216</v>
      </c>
    </row>
    <row r="428" spans="1:1" ht="15.75" thickBot="1" x14ac:dyDescent="0.3">
      <c r="A428" s="2">
        <v>0</v>
      </c>
    </row>
    <row r="429" spans="1:1" ht="15.75" thickBot="1" x14ac:dyDescent="0.3">
      <c r="A429" t="s">
        <v>217</v>
      </c>
    </row>
    <row r="430" spans="1:1" ht="15.75" thickBot="1" x14ac:dyDescent="0.3">
      <c r="A430" s="3">
        <v>0</v>
      </c>
    </row>
    <row r="431" spans="1:1" ht="15.75" thickBot="1" x14ac:dyDescent="0.3">
      <c r="A431" s="3">
        <v>1</v>
      </c>
    </row>
    <row r="432" spans="1:1" x14ac:dyDescent="0.25">
      <c r="A432" s="4" t="s">
        <v>218</v>
      </c>
    </row>
    <row r="433" spans="1:1" ht="15.75" thickBot="1" x14ac:dyDescent="0.3">
      <c r="A433" s="1" t="s">
        <v>219</v>
      </c>
    </row>
    <row r="434" spans="1:1" ht="15.75" thickBot="1" x14ac:dyDescent="0.3">
      <c r="A434" s="2">
        <v>0</v>
      </c>
    </row>
    <row r="435" spans="1:1" ht="15.75" thickBot="1" x14ac:dyDescent="0.3">
      <c r="A435" t="s">
        <v>220</v>
      </c>
    </row>
    <row r="436" spans="1:1" ht="15.75" thickBot="1" x14ac:dyDescent="0.3">
      <c r="A436" s="3">
        <v>0</v>
      </c>
    </row>
    <row r="437" spans="1:1" ht="15.75" thickBot="1" x14ac:dyDescent="0.3">
      <c r="A437" s="3">
        <v>1</v>
      </c>
    </row>
    <row r="438" spans="1:1" x14ac:dyDescent="0.25">
      <c r="A438" s="4" t="s">
        <v>221</v>
      </c>
    </row>
    <row r="439" spans="1:1" ht="15.75" thickBot="1" x14ac:dyDescent="0.3">
      <c r="A439" t="s">
        <v>222</v>
      </c>
    </row>
    <row r="440" spans="1:1" ht="15.75" thickBot="1" x14ac:dyDescent="0.3">
      <c r="A440" s="2">
        <v>0</v>
      </c>
    </row>
    <row r="441" spans="1:1" ht="15.75" thickBot="1" x14ac:dyDescent="0.3">
      <c r="A441" t="s">
        <v>223</v>
      </c>
    </row>
    <row r="442" spans="1:1" ht="15.75" thickBot="1" x14ac:dyDescent="0.3">
      <c r="A442" s="3">
        <v>0</v>
      </c>
    </row>
    <row r="443" spans="1:1" ht="15.75" thickBot="1" x14ac:dyDescent="0.3">
      <c r="A443" s="3">
        <v>1</v>
      </c>
    </row>
    <row r="444" spans="1:1" x14ac:dyDescent="0.25">
      <c r="A444" s="4" t="s">
        <v>224</v>
      </c>
    </row>
    <row r="445" spans="1:1" ht="15.75" thickBot="1" x14ac:dyDescent="0.3">
      <c r="A445" t="s">
        <v>225</v>
      </c>
    </row>
    <row r="446" spans="1:1" ht="15.75" thickBot="1" x14ac:dyDescent="0.3">
      <c r="A446" s="2">
        <v>0</v>
      </c>
    </row>
    <row r="447" spans="1:1" ht="15.75" thickBot="1" x14ac:dyDescent="0.3">
      <c r="A447" t="s">
        <v>226</v>
      </c>
    </row>
    <row r="448" spans="1:1" ht="15.75" thickBot="1" x14ac:dyDescent="0.3">
      <c r="A448" s="3">
        <v>0</v>
      </c>
    </row>
    <row r="449" spans="1:1" ht="15.75" thickBot="1" x14ac:dyDescent="0.3">
      <c r="A449" s="3">
        <v>1</v>
      </c>
    </row>
    <row r="450" spans="1:1" x14ac:dyDescent="0.25">
      <c r="A450" s="4" t="s">
        <v>227</v>
      </c>
    </row>
    <row r="451" spans="1:1" ht="15.75" thickBot="1" x14ac:dyDescent="0.3">
      <c r="A451" s="5" t="s">
        <v>228</v>
      </c>
    </row>
    <row r="452" spans="1:1" ht="15.75" thickBot="1" x14ac:dyDescent="0.3">
      <c r="A452" s="2">
        <v>0</v>
      </c>
    </row>
    <row r="453" spans="1:1" ht="15.75" thickBot="1" x14ac:dyDescent="0.3">
      <c r="A453" t="s">
        <v>229</v>
      </c>
    </row>
    <row r="454" spans="1:1" ht="15.75" thickBot="1" x14ac:dyDescent="0.3">
      <c r="A454" s="3">
        <v>0</v>
      </c>
    </row>
    <row r="455" spans="1:1" ht="15.75" thickBot="1" x14ac:dyDescent="0.3">
      <c r="A455" s="3">
        <v>1</v>
      </c>
    </row>
    <row r="456" spans="1:1" x14ac:dyDescent="0.25">
      <c r="A456" s="4" t="s">
        <v>230</v>
      </c>
    </row>
    <row r="457" spans="1:1" ht="15.75" thickBot="1" x14ac:dyDescent="0.3">
      <c r="A457" t="s">
        <v>231</v>
      </c>
    </row>
    <row r="458" spans="1:1" ht="15.75" thickBot="1" x14ac:dyDescent="0.3">
      <c r="A458" s="2">
        <v>0</v>
      </c>
    </row>
    <row r="459" spans="1:1" ht="15.75" thickBot="1" x14ac:dyDescent="0.3">
      <c r="A459" t="s">
        <v>232</v>
      </c>
    </row>
    <row r="460" spans="1:1" ht="15.75" thickBot="1" x14ac:dyDescent="0.3">
      <c r="A460" s="3">
        <v>0</v>
      </c>
    </row>
    <row r="461" spans="1:1" ht="15.75" thickBot="1" x14ac:dyDescent="0.3">
      <c r="A461" s="3">
        <v>1</v>
      </c>
    </row>
    <row r="462" spans="1:1" x14ac:dyDescent="0.25">
      <c r="A462" s="4" t="s">
        <v>233</v>
      </c>
    </row>
    <row r="463" spans="1:1" ht="15.75" thickBot="1" x14ac:dyDescent="0.3">
      <c r="A463" s="1" t="s">
        <v>234</v>
      </c>
    </row>
    <row r="464" spans="1:1" ht="15.75" thickBot="1" x14ac:dyDescent="0.3">
      <c r="A464" s="2">
        <v>0</v>
      </c>
    </row>
    <row r="465" spans="1:1" ht="15.75" thickBot="1" x14ac:dyDescent="0.3">
      <c r="A465" t="s">
        <v>235</v>
      </c>
    </row>
    <row r="466" spans="1:1" ht="15.75" thickBot="1" x14ac:dyDescent="0.3">
      <c r="A466" s="3">
        <v>0</v>
      </c>
    </row>
    <row r="467" spans="1:1" ht="15.75" thickBot="1" x14ac:dyDescent="0.3">
      <c r="A467" s="3">
        <v>1</v>
      </c>
    </row>
    <row r="468" spans="1:1" x14ac:dyDescent="0.25">
      <c r="A468" s="4" t="s">
        <v>236</v>
      </c>
    </row>
    <row r="469" spans="1:1" ht="15.75" thickBot="1" x14ac:dyDescent="0.3">
      <c r="A469" t="s">
        <v>237</v>
      </c>
    </row>
    <row r="470" spans="1:1" ht="15.75" thickBot="1" x14ac:dyDescent="0.3">
      <c r="A470" s="2">
        <v>0</v>
      </c>
    </row>
    <row r="471" spans="1:1" ht="15.75" thickBot="1" x14ac:dyDescent="0.3">
      <c r="A471" t="s">
        <v>238</v>
      </c>
    </row>
    <row r="472" spans="1:1" ht="15.75" thickBot="1" x14ac:dyDescent="0.3">
      <c r="A472" s="3">
        <v>0</v>
      </c>
    </row>
    <row r="473" spans="1:1" ht="15.75" thickBot="1" x14ac:dyDescent="0.3">
      <c r="A473" s="3">
        <v>1</v>
      </c>
    </row>
    <row r="474" spans="1:1" x14ac:dyDescent="0.25">
      <c r="A474" s="4" t="s">
        <v>239</v>
      </c>
    </row>
    <row r="475" spans="1:1" ht="15.75" thickBot="1" x14ac:dyDescent="0.3">
      <c r="A475" s="5" t="s">
        <v>240</v>
      </c>
    </row>
    <row r="476" spans="1:1" ht="15.75" thickBot="1" x14ac:dyDescent="0.3">
      <c r="A476" s="2">
        <v>0</v>
      </c>
    </row>
    <row r="477" spans="1:1" ht="15.75" thickBot="1" x14ac:dyDescent="0.3">
      <c r="A477" t="s">
        <v>241</v>
      </c>
    </row>
    <row r="478" spans="1:1" ht="15.75" thickBot="1" x14ac:dyDescent="0.3">
      <c r="A478" s="3">
        <v>0</v>
      </c>
    </row>
    <row r="479" spans="1:1" ht="15.75" thickBot="1" x14ac:dyDescent="0.3">
      <c r="A479" s="3">
        <v>1</v>
      </c>
    </row>
    <row r="480" spans="1:1" x14ac:dyDescent="0.25">
      <c r="A480" s="4" t="s">
        <v>242</v>
      </c>
    </row>
    <row r="481" spans="1:1" ht="15.75" thickBot="1" x14ac:dyDescent="0.3">
      <c r="A481" t="s">
        <v>243</v>
      </c>
    </row>
    <row r="482" spans="1:1" ht="15.75" thickBot="1" x14ac:dyDescent="0.3">
      <c r="A482" s="2">
        <v>0</v>
      </c>
    </row>
    <row r="483" spans="1:1" ht="15.75" thickBot="1" x14ac:dyDescent="0.3">
      <c r="A483" t="s">
        <v>244</v>
      </c>
    </row>
    <row r="484" spans="1:1" ht="15.75" thickBot="1" x14ac:dyDescent="0.3">
      <c r="A484" s="3">
        <v>0</v>
      </c>
    </row>
    <row r="485" spans="1:1" ht="15.75" thickBot="1" x14ac:dyDescent="0.3">
      <c r="A485" s="3">
        <v>1</v>
      </c>
    </row>
    <row r="486" spans="1:1" x14ac:dyDescent="0.25">
      <c r="A486" s="4" t="s">
        <v>245</v>
      </c>
    </row>
    <row r="487" spans="1:1" ht="15.75" thickBot="1" x14ac:dyDescent="0.3">
      <c r="A487" t="s">
        <v>246</v>
      </c>
    </row>
    <row r="488" spans="1:1" ht="15.75" thickBot="1" x14ac:dyDescent="0.3">
      <c r="A488" s="2">
        <v>0</v>
      </c>
    </row>
    <row r="489" spans="1:1" ht="15.75" thickBot="1" x14ac:dyDescent="0.3">
      <c r="A489" t="s">
        <v>247</v>
      </c>
    </row>
    <row r="490" spans="1:1" ht="15.75" thickBot="1" x14ac:dyDescent="0.3">
      <c r="A490" s="3">
        <v>0</v>
      </c>
    </row>
    <row r="491" spans="1:1" ht="15.75" thickBot="1" x14ac:dyDescent="0.3">
      <c r="A491" s="3">
        <v>1</v>
      </c>
    </row>
    <row r="492" spans="1:1" x14ac:dyDescent="0.25">
      <c r="A492" s="4" t="s">
        <v>248</v>
      </c>
    </row>
    <row r="493" spans="1:1" ht="15.75" thickBot="1" x14ac:dyDescent="0.3">
      <c r="A493" s="1" t="s">
        <v>249</v>
      </c>
    </row>
    <row r="494" spans="1:1" ht="15.75" thickBot="1" x14ac:dyDescent="0.3">
      <c r="A494" s="2">
        <v>0</v>
      </c>
    </row>
    <row r="495" spans="1:1" ht="15.75" thickBot="1" x14ac:dyDescent="0.3">
      <c r="A495" t="s">
        <v>250</v>
      </c>
    </row>
    <row r="496" spans="1:1" ht="15.75" thickBot="1" x14ac:dyDescent="0.3">
      <c r="A496" s="3">
        <v>0</v>
      </c>
    </row>
    <row r="497" spans="1:1" ht="15.75" thickBot="1" x14ac:dyDescent="0.3">
      <c r="A497" s="3">
        <v>1</v>
      </c>
    </row>
    <row r="498" spans="1:1" x14ac:dyDescent="0.25">
      <c r="A498" s="4" t="s">
        <v>251</v>
      </c>
    </row>
    <row r="499" spans="1:1" ht="15.75" thickBot="1" x14ac:dyDescent="0.3">
      <c r="A499" t="s">
        <v>252</v>
      </c>
    </row>
    <row r="500" spans="1:1" ht="15.75" thickBot="1" x14ac:dyDescent="0.3">
      <c r="A500" s="2">
        <v>0</v>
      </c>
    </row>
    <row r="501" spans="1:1" ht="15.75" thickBot="1" x14ac:dyDescent="0.3">
      <c r="A501" t="s">
        <v>253</v>
      </c>
    </row>
    <row r="502" spans="1:1" ht="15.75" thickBot="1" x14ac:dyDescent="0.3">
      <c r="A502" s="3">
        <v>0</v>
      </c>
    </row>
    <row r="503" spans="1:1" ht="15.75" thickBot="1" x14ac:dyDescent="0.3">
      <c r="A503" s="3">
        <v>1</v>
      </c>
    </row>
    <row r="504" spans="1:1" x14ac:dyDescent="0.25">
      <c r="A504" s="4" t="s">
        <v>254</v>
      </c>
    </row>
    <row r="505" spans="1:1" ht="15.75" thickBot="1" x14ac:dyDescent="0.3">
      <c r="A505" s="1" t="s">
        <v>255</v>
      </c>
    </row>
    <row r="506" spans="1:1" ht="15.75" thickBot="1" x14ac:dyDescent="0.3">
      <c r="A506" s="2">
        <v>0</v>
      </c>
    </row>
    <row r="507" spans="1:1" ht="15.75" thickBot="1" x14ac:dyDescent="0.3">
      <c r="A507" t="s">
        <v>256</v>
      </c>
    </row>
    <row r="508" spans="1:1" ht="15.75" thickBot="1" x14ac:dyDescent="0.3">
      <c r="A508" s="3">
        <v>0</v>
      </c>
    </row>
    <row r="509" spans="1:1" ht="15.75" thickBot="1" x14ac:dyDescent="0.3">
      <c r="A509" s="3">
        <v>1</v>
      </c>
    </row>
    <row r="510" spans="1:1" x14ac:dyDescent="0.25">
      <c r="A510" s="4" t="s">
        <v>257</v>
      </c>
    </row>
    <row r="511" spans="1:1" ht="15.75" thickBot="1" x14ac:dyDescent="0.3">
      <c r="A511" s="5" t="s">
        <v>258</v>
      </c>
    </row>
    <row r="512" spans="1:1" ht="15.75" thickBot="1" x14ac:dyDescent="0.3">
      <c r="A512" s="2">
        <v>0</v>
      </c>
    </row>
    <row r="513" spans="1:1" ht="15.75" thickBot="1" x14ac:dyDescent="0.3">
      <c r="A513" t="s">
        <v>259</v>
      </c>
    </row>
    <row r="514" spans="1:1" ht="15.75" thickBot="1" x14ac:dyDescent="0.3">
      <c r="A514" s="3">
        <v>0</v>
      </c>
    </row>
    <row r="515" spans="1:1" ht="15.75" thickBot="1" x14ac:dyDescent="0.3">
      <c r="A515" s="3">
        <v>1</v>
      </c>
    </row>
    <row r="516" spans="1:1" x14ac:dyDescent="0.25">
      <c r="A516" s="4" t="s">
        <v>260</v>
      </c>
    </row>
    <row r="517" spans="1:1" ht="15.75" thickBot="1" x14ac:dyDescent="0.3">
      <c r="A517" t="s">
        <v>261</v>
      </c>
    </row>
    <row r="518" spans="1:1" ht="15.75" thickBot="1" x14ac:dyDescent="0.3">
      <c r="A518" s="2">
        <v>0</v>
      </c>
    </row>
    <row r="519" spans="1:1" ht="15.75" thickBot="1" x14ac:dyDescent="0.3">
      <c r="A519" t="s">
        <v>262</v>
      </c>
    </row>
    <row r="520" spans="1:1" ht="15.75" thickBot="1" x14ac:dyDescent="0.3">
      <c r="A520" s="3">
        <v>0</v>
      </c>
    </row>
    <row r="521" spans="1:1" ht="15.75" thickBot="1" x14ac:dyDescent="0.3">
      <c r="A521" s="3">
        <v>1</v>
      </c>
    </row>
    <row r="522" spans="1:1" x14ac:dyDescent="0.25">
      <c r="A522" s="4" t="s">
        <v>263</v>
      </c>
    </row>
    <row r="523" spans="1:1" ht="15.75" thickBot="1" x14ac:dyDescent="0.3">
      <c r="A523" t="s">
        <v>264</v>
      </c>
    </row>
    <row r="524" spans="1:1" ht="15.75" thickBot="1" x14ac:dyDescent="0.3">
      <c r="A524" s="2">
        <v>0</v>
      </c>
    </row>
    <row r="525" spans="1:1" ht="15.75" thickBot="1" x14ac:dyDescent="0.3">
      <c r="A525" t="s">
        <v>265</v>
      </c>
    </row>
    <row r="526" spans="1:1" ht="15.75" thickBot="1" x14ac:dyDescent="0.3">
      <c r="A526" s="3">
        <v>0</v>
      </c>
    </row>
    <row r="527" spans="1:1" ht="15.75" thickBot="1" x14ac:dyDescent="0.3">
      <c r="A527" s="3">
        <v>1</v>
      </c>
    </row>
    <row r="528" spans="1:1" x14ac:dyDescent="0.25">
      <c r="A528" s="4" t="s">
        <v>266</v>
      </c>
    </row>
    <row r="529" spans="1:1" ht="15.75" thickBot="1" x14ac:dyDescent="0.3">
      <c r="A529" s="5" t="s">
        <v>267</v>
      </c>
    </row>
    <row r="530" spans="1:1" ht="15.75" thickBot="1" x14ac:dyDescent="0.3">
      <c r="A530" s="2">
        <v>0</v>
      </c>
    </row>
    <row r="531" spans="1:1" ht="15.75" thickBot="1" x14ac:dyDescent="0.3">
      <c r="A531" t="s">
        <v>268</v>
      </c>
    </row>
    <row r="532" spans="1:1" ht="15.75" thickBot="1" x14ac:dyDescent="0.3">
      <c r="A532" s="3">
        <v>0</v>
      </c>
    </row>
    <row r="533" spans="1:1" ht="15.75" thickBot="1" x14ac:dyDescent="0.3">
      <c r="A533" s="3">
        <v>1</v>
      </c>
    </row>
    <row r="534" spans="1:1" x14ac:dyDescent="0.25">
      <c r="A534" s="4" t="s">
        <v>269</v>
      </c>
    </row>
    <row r="535" spans="1:1" ht="15.75" thickBot="1" x14ac:dyDescent="0.3">
      <c r="A535" s="1" t="s">
        <v>270</v>
      </c>
    </row>
    <row r="536" spans="1:1" ht="15.75" thickBot="1" x14ac:dyDescent="0.3">
      <c r="A536" s="2">
        <v>0</v>
      </c>
    </row>
    <row r="537" spans="1:1" ht="15.75" thickBot="1" x14ac:dyDescent="0.3">
      <c r="A537" t="s">
        <v>271</v>
      </c>
    </row>
    <row r="538" spans="1:1" ht="15.75" thickBot="1" x14ac:dyDescent="0.3">
      <c r="A538" s="3">
        <v>0</v>
      </c>
    </row>
    <row r="539" spans="1:1" ht="15.75" thickBot="1" x14ac:dyDescent="0.3">
      <c r="A539" s="3">
        <v>1</v>
      </c>
    </row>
    <row r="540" spans="1:1" x14ac:dyDescent="0.25">
      <c r="A540" s="4" t="s">
        <v>272</v>
      </c>
    </row>
    <row r="541" spans="1:1" ht="15.75" thickBot="1" x14ac:dyDescent="0.3">
      <c r="A541" t="s">
        <v>273</v>
      </c>
    </row>
    <row r="542" spans="1:1" ht="15.75" thickBot="1" x14ac:dyDescent="0.3">
      <c r="A542" s="2">
        <v>0</v>
      </c>
    </row>
    <row r="543" spans="1:1" ht="15.75" thickBot="1" x14ac:dyDescent="0.3">
      <c r="A543" t="s">
        <v>274</v>
      </c>
    </row>
    <row r="544" spans="1:1" ht="15.75" thickBot="1" x14ac:dyDescent="0.3">
      <c r="A544" s="3">
        <v>0</v>
      </c>
    </row>
    <row r="545" spans="1:1" ht="15.75" thickBot="1" x14ac:dyDescent="0.3">
      <c r="A545" s="3">
        <v>1</v>
      </c>
    </row>
    <row r="546" spans="1:1" x14ac:dyDescent="0.25">
      <c r="A546" s="4" t="s">
        <v>275</v>
      </c>
    </row>
    <row r="547" spans="1:1" ht="15.75" thickBot="1" x14ac:dyDescent="0.3">
      <c r="A547" s="5" t="s">
        <v>276</v>
      </c>
    </row>
    <row r="548" spans="1:1" ht="15.75" thickBot="1" x14ac:dyDescent="0.3">
      <c r="A548" s="2">
        <v>0</v>
      </c>
    </row>
    <row r="549" spans="1:1" ht="15.75" thickBot="1" x14ac:dyDescent="0.3">
      <c r="A549" t="s">
        <v>277</v>
      </c>
    </row>
    <row r="550" spans="1:1" ht="15.75" thickBot="1" x14ac:dyDescent="0.3">
      <c r="A550" s="3">
        <v>0</v>
      </c>
    </row>
    <row r="551" spans="1:1" ht="15.75" thickBot="1" x14ac:dyDescent="0.3">
      <c r="A551" s="3">
        <v>1</v>
      </c>
    </row>
    <row r="552" spans="1:1" x14ac:dyDescent="0.25">
      <c r="A552" s="4" t="s">
        <v>278</v>
      </c>
    </row>
    <row r="553" spans="1:1" ht="15.75" thickBot="1" x14ac:dyDescent="0.3">
      <c r="A553" s="5" t="s">
        <v>279</v>
      </c>
    </row>
    <row r="554" spans="1:1" ht="15.75" thickBot="1" x14ac:dyDescent="0.3">
      <c r="A554" s="2">
        <v>0</v>
      </c>
    </row>
    <row r="555" spans="1:1" ht="15.75" thickBot="1" x14ac:dyDescent="0.3">
      <c r="A555" t="s">
        <v>280</v>
      </c>
    </row>
    <row r="556" spans="1:1" ht="15.75" thickBot="1" x14ac:dyDescent="0.3">
      <c r="A556" s="3">
        <v>0</v>
      </c>
    </row>
    <row r="557" spans="1:1" ht="15.75" thickBot="1" x14ac:dyDescent="0.3">
      <c r="A557" s="3">
        <v>1</v>
      </c>
    </row>
    <row r="558" spans="1:1" x14ac:dyDescent="0.25">
      <c r="A558" s="4" t="s">
        <v>281</v>
      </c>
    </row>
    <row r="559" spans="1:1" ht="15.75" thickBot="1" x14ac:dyDescent="0.3">
      <c r="A559" s="5" t="s">
        <v>282</v>
      </c>
    </row>
    <row r="560" spans="1:1" ht="15.75" thickBot="1" x14ac:dyDescent="0.3">
      <c r="A560" s="2">
        <v>0</v>
      </c>
    </row>
    <row r="561" spans="1:1" ht="15.75" thickBot="1" x14ac:dyDescent="0.3">
      <c r="A561" t="s">
        <v>283</v>
      </c>
    </row>
    <row r="562" spans="1:1" ht="15.75" thickBot="1" x14ac:dyDescent="0.3">
      <c r="A562" s="3">
        <v>0</v>
      </c>
    </row>
    <row r="563" spans="1:1" ht="15.75" thickBot="1" x14ac:dyDescent="0.3">
      <c r="A563" s="3">
        <v>1</v>
      </c>
    </row>
    <row r="564" spans="1:1" x14ac:dyDescent="0.25">
      <c r="A564" s="4" t="s">
        <v>284</v>
      </c>
    </row>
    <row r="565" spans="1:1" ht="15.75" thickBot="1" x14ac:dyDescent="0.3">
      <c r="A565" s="1" t="s">
        <v>285</v>
      </c>
    </row>
    <row r="566" spans="1:1" ht="15.75" thickBot="1" x14ac:dyDescent="0.3">
      <c r="A566" s="2">
        <v>0</v>
      </c>
    </row>
    <row r="567" spans="1:1" ht="15.75" thickBot="1" x14ac:dyDescent="0.3">
      <c r="A567" t="s">
        <v>286</v>
      </c>
    </row>
    <row r="568" spans="1:1" ht="15.75" thickBot="1" x14ac:dyDescent="0.3">
      <c r="A568" s="3">
        <v>0</v>
      </c>
    </row>
    <row r="569" spans="1:1" ht="15.75" thickBot="1" x14ac:dyDescent="0.3">
      <c r="A569" s="3">
        <v>1</v>
      </c>
    </row>
    <row r="570" spans="1:1" x14ac:dyDescent="0.25">
      <c r="A570" s="4" t="s">
        <v>287</v>
      </c>
    </row>
    <row r="571" spans="1:1" ht="15.75" thickBot="1" x14ac:dyDescent="0.3">
      <c r="A571" s="1" t="s">
        <v>288</v>
      </c>
    </row>
    <row r="572" spans="1:1" ht="15.75" thickBot="1" x14ac:dyDescent="0.3">
      <c r="A572" s="2">
        <v>0</v>
      </c>
    </row>
    <row r="573" spans="1:1" ht="15.75" thickBot="1" x14ac:dyDescent="0.3">
      <c r="A573" t="s">
        <v>289</v>
      </c>
    </row>
    <row r="574" spans="1:1" ht="15.75" thickBot="1" x14ac:dyDescent="0.3">
      <c r="A574" s="3">
        <v>0</v>
      </c>
    </row>
    <row r="575" spans="1:1" ht="15.75" thickBot="1" x14ac:dyDescent="0.3">
      <c r="A575" s="3">
        <v>1</v>
      </c>
    </row>
    <row r="576" spans="1:1" x14ac:dyDescent="0.25">
      <c r="A576" s="4" t="s">
        <v>290</v>
      </c>
    </row>
    <row r="577" spans="1:1" ht="15.75" thickBot="1" x14ac:dyDescent="0.3">
      <c r="A577" t="s">
        <v>291</v>
      </c>
    </row>
    <row r="578" spans="1:1" ht="15.75" thickBot="1" x14ac:dyDescent="0.3">
      <c r="A578" s="2">
        <v>0</v>
      </c>
    </row>
    <row r="579" spans="1:1" ht="15.75" thickBot="1" x14ac:dyDescent="0.3">
      <c r="A579" t="s">
        <v>292</v>
      </c>
    </row>
    <row r="580" spans="1:1" ht="15.75" thickBot="1" x14ac:dyDescent="0.3">
      <c r="A580" s="3">
        <v>0</v>
      </c>
    </row>
    <row r="581" spans="1:1" ht="15.75" thickBot="1" x14ac:dyDescent="0.3">
      <c r="A581" s="3">
        <v>1</v>
      </c>
    </row>
    <row r="582" spans="1:1" x14ac:dyDescent="0.25">
      <c r="A582" s="4" t="s">
        <v>293</v>
      </c>
    </row>
    <row r="583" spans="1:1" ht="15.75" thickBot="1" x14ac:dyDescent="0.3">
      <c r="A583" s="5" t="s">
        <v>294</v>
      </c>
    </row>
    <row r="584" spans="1:1" ht="15.75" thickBot="1" x14ac:dyDescent="0.3">
      <c r="A584" s="2">
        <v>0</v>
      </c>
    </row>
    <row r="585" spans="1:1" ht="15.75" thickBot="1" x14ac:dyDescent="0.3">
      <c r="A585" t="s">
        <v>295</v>
      </c>
    </row>
    <row r="586" spans="1:1" ht="15.75" thickBot="1" x14ac:dyDescent="0.3">
      <c r="A586" s="3">
        <v>0</v>
      </c>
    </row>
    <row r="587" spans="1:1" ht="15.75" thickBot="1" x14ac:dyDescent="0.3">
      <c r="A587" s="3">
        <v>1</v>
      </c>
    </row>
    <row r="588" spans="1:1" x14ac:dyDescent="0.25">
      <c r="A588" s="4" t="s">
        <v>296</v>
      </c>
    </row>
    <row r="589" spans="1:1" ht="15.75" thickBot="1" x14ac:dyDescent="0.3">
      <c r="A589" s="1" t="s">
        <v>297</v>
      </c>
    </row>
    <row r="590" spans="1:1" ht="15.75" thickBot="1" x14ac:dyDescent="0.3">
      <c r="A590" s="2">
        <v>0</v>
      </c>
    </row>
    <row r="591" spans="1:1" ht="15.75" thickBot="1" x14ac:dyDescent="0.3">
      <c r="A591" t="s">
        <v>298</v>
      </c>
    </row>
    <row r="592" spans="1:1" ht="15.75" thickBot="1" x14ac:dyDescent="0.3">
      <c r="A592" s="3">
        <v>0</v>
      </c>
    </row>
    <row r="593" spans="1:1" ht="15.75" thickBot="1" x14ac:dyDescent="0.3">
      <c r="A593" s="3">
        <v>1</v>
      </c>
    </row>
    <row r="594" spans="1:1" x14ac:dyDescent="0.25">
      <c r="A594" s="4" t="s">
        <v>299</v>
      </c>
    </row>
    <row r="595" spans="1:1" ht="15.75" thickBot="1" x14ac:dyDescent="0.3">
      <c r="A595" s="1" t="s">
        <v>300</v>
      </c>
    </row>
    <row r="596" spans="1:1" ht="15.75" thickBot="1" x14ac:dyDescent="0.3">
      <c r="A596" s="2">
        <v>0</v>
      </c>
    </row>
    <row r="597" spans="1:1" ht="15.75" thickBot="1" x14ac:dyDescent="0.3">
      <c r="A597" t="s">
        <v>301</v>
      </c>
    </row>
    <row r="598" spans="1:1" ht="15.75" thickBot="1" x14ac:dyDescent="0.3">
      <c r="A598" s="3">
        <v>0</v>
      </c>
    </row>
    <row r="599" spans="1:1" ht="15.75" thickBot="1" x14ac:dyDescent="0.3">
      <c r="A599" s="3">
        <v>1</v>
      </c>
    </row>
    <row r="600" spans="1:1" x14ac:dyDescent="0.25">
      <c r="A600" s="4" t="s">
        <v>302</v>
      </c>
    </row>
    <row r="601" spans="1:1" ht="15.75" thickBot="1" x14ac:dyDescent="0.3">
      <c r="A601" t="s">
        <v>303</v>
      </c>
    </row>
    <row r="602" spans="1:1" ht="15.75" thickBot="1" x14ac:dyDescent="0.3">
      <c r="A602" s="2">
        <v>0</v>
      </c>
    </row>
    <row r="603" spans="1:1" ht="15.75" thickBot="1" x14ac:dyDescent="0.3">
      <c r="A603" t="s">
        <v>304</v>
      </c>
    </row>
    <row r="604" spans="1:1" ht="15.75" thickBot="1" x14ac:dyDescent="0.3">
      <c r="A604" s="3">
        <v>0</v>
      </c>
    </row>
    <row r="605" spans="1:1" ht="15.75" thickBot="1" x14ac:dyDescent="0.3">
      <c r="A605" s="3">
        <v>1</v>
      </c>
    </row>
    <row r="606" spans="1:1" x14ac:dyDescent="0.25">
      <c r="A606" s="4" t="s">
        <v>305</v>
      </c>
    </row>
    <row r="607" spans="1:1" ht="15.75" thickBot="1" x14ac:dyDescent="0.3">
      <c r="A607" t="s">
        <v>306</v>
      </c>
    </row>
    <row r="608" spans="1:1" ht="15.75" thickBot="1" x14ac:dyDescent="0.3">
      <c r="A608" s="2">
        <v>0</v>
      </c>
    </row>
    <row r="609" spans="1:1" ht="15.75" thickBot="1" x14ac:dyDescent="0.3">
      <c r="A609" t="s">
        <v>307</v>
      </c>
    </row>
    <row r="610" spans="1:1" ht="15.75" thickBot="1" x14ac:dyDescent="0.3">
      <c r="A610" s="3">
        <v>0</v>
      </c>
    </row>
    <row r="611" spans="1:1" ht="15.75" thickBot="1" x14ac:dyDescent="0.3">
      <c r="A611" s="3">
        <v>1</v>
      </c>
    </row>
    <row r="612" spans="1:1" x14ac:dyDescent="0.25">
      <c r="A612" s="4" t="s">
        <v>308</v>
      </c>
    </row>
    <row r="613" spans="1:1" ht="15.75" thickBot="1" x14ac:dyDescent="0.3">
      <c r="A613" t="s">
        <v>309</v>
      </c>
    </row>
    <row r="614" spans="1:1" ht="15.75" thickBot="1" x14ac:dyDescent="0.3">
      <c r="A614" s="2">
        <v>0</v>
      </c>
    </row>
    <row r="615" spans="1:1" ht="15.75" thickBot="1" x14ac:dyDescent="0.3">
      <c r="A615" t="s">
        <v>310</v>
      </c>
    </row>
    <row r="616" spans="1:1" ht="15.75" thickBot="1" x14ac:dyDescent="0.3">
      <c r="A616" s="3">
        <v>0</v>
      </c>
    </row>
    <row r="617" spans="1:1" ht="15.75" thickBot="1" x14ac:dyDescent="0.3">
      <c r="A617" s="3">
        <v>1</v>
      </c>
    </row>
    <row r="618" spans="1:1" x14ac:dyDescent="0.25">
      <c r="A618" s="4" t="s">
        <v>311</v>
      </c>
    </row>
    <row r="619" spans="1:1" ht="15.75" thickBot="1" x14ac:dyDescent="0.3">
      <c r="A619" t="s">
        <v>312</v>
      </c>
    </row>
    <row r="620" spans="1:1" ht="15.75" thickBot="1" x14ac:dyDescent="0.3">
      <c r="A620" s="2">
        <v>0</v>
      </c>
    </row>
    <row r="621" spans="1:1" ht="15.75" thickBot="1" x14ac:dyDescent="0.3">
      <c r="A621" t="s">
        <v>313</v>
      </c>
    </row>
    <row r="622" spans="1:1" ht="15.75" thickBot="1" x14ac:dyDescent="0.3">
      <c r="A622" s="3">
        <v>0</v>
      </c>
    </row>
    <row r="623" spans="1:1" ht="15.75" thickBot="1" x14ac:dyDescent="0.3">
      <c r="A623" s="3">
        <v>1</v>
      </c>
    </row>
    <row r="624" spans="1:1" x14ac:dyDescent="0.25">
      <c r="A624" s="4" t="s">
        <v>314</v>
      </c>
    </row>
    <row r="625" spans="1:1" ht="15.75" thickBot="1" x14ac:dyDescent="0.3">
      <c r="A625" s="5" t="s">
        <v>315</v>
      </c>
    </row>
    <row r="626" spans="1:1" ht="15.75" thickBot="1" x14ac:dyDescent="0.3">
      <c r="A626" s="2">
        <v>0</v>
      </c>
    </row>
    <row r="627" spans="1:1" ht="15.75" thickBot="1" x14ac:dyDescent="0.3">
      <c r="A627" t="s">
        <v>316</v>
      </c>
    </row>
    <row r="628" spans="1:1" ht="15.75" thickBot="1" x14ac:dyDescent="0.3">
      <c r="A628" s="3">
        <v>0</v>
      </c>
    </row>
    <row r="629" spans="1:1" ht="15.75" thickBot="1" x14ac:dyDescent="0.3">
      <c r="A629" s="3">
        <v>1</v>
      </c>
    </row>
    <row r="630" spans="1:1" x14ac:dyDescent="0.25">
      <c r="A630" s="4" t="s">
        <v>317</v>
      </c>
    </row>
    <row r="631" spans="1:1" ht="15.75" thickBot="1" x14ac:dyDescent="0.3">
      <c r="A631" s="5" t="s">
        <v>318</v>
      </c>
    </row>
    <row r="632" spans="1:1" ht="15.75" thickBot="1" x14ac:dyDescent="0.3">
      <c r="A632" s="2">
        <v>0</v>
      </c>
    </row>
    <row r="633" spans="1:1" ht="15.75" thickBot="1" x14ac:dyDescent="0.3">
      <c r="A633" t="s">
        <v>319</v>
      </c>
    </row>
    <row r="634" spans="1:1" ht="15.75" thickBot="1" x14ac:dyDescent="0.3">
      <c r="A634" s="3">
        <v>0</v>
      </c>
    </row>
    <row r="635" spans="1:1" ht="15.75" thickBot="1" x14ac:dyDescent="0.3">
      <c r="A635" s="3">
        <v>1</v>
      </c>
    </row>
    <row r="636" spans="1:1" x14ac:dyDescent="0.25">
      <c r="A636" s="4" t="s">
        <v>320</v>
      </c>
    </row>
    <row r="637" spans="1:1" ht="15.75" thickBot="1" x14ac:dyDescent="0.3">
      <c r="A637" s="5" t="s">
        <v>321</v>
      </c>
    </row>
    <row r="638" spans="1:1" ht="15.75" thickBot="1" x14ac:dyDescent="0.3">
      <c r="A638" s="2">
        <v>0</v>
      </c>
    </row>
    <row r="639" spans="1:1" ht="15.75" thickBot="1" x14ac:dyDescent="0.3">
      <c r="A639" t="s">
        <v>322</v>
      </c>
    </row>
    <row r="640" spans="1:1" ht="15.75" thickBot="1" x14ac:dyDescent="0.3">
      <c r="A640" s="3">
        <v>0</v>
      </c>
    </row>
    <row r="641" spans="1:1" ht="15.75" thickBot="1" x14ac:dyDescent="0.3">
      <c r="A641" s="3">
        <v>1</v>
      </c>
    </row>
    <row r="642" spans="1:1" x14ac:dyDescent="0.25">
      <c r="A642" s="4" t="s">
        <v>323</v>
      </c>
    </row>
    <row r="643" spans="1:1" ht="15.75" thickBot="1" x14ac:dyDescent="0.3">
      <c r="A643" s="1" t="s">
        <v>324</v>
      </c>
    </row>
    <row r="644" spans="1:1" ht="15.75" thickBot="1" x14ac:dyDescent="0.3">
      <c r="A644" s="2">
        <v>0</v>
      </c>
    </row>
    <row r="645" spans="1:1" ht="15.75" thickBot="1" x14ac:dyDescent="0.3">
      <c r="A645" t="s">
        <v>325</v>
      </c>
    </row>
    <row r="646" spans="1:1" ht="15.75" thickBot="1" x14ac:dyDescent="0.3">
      <c r="A646" s="3">
        <v>0</v>
      </c>
    </row>
    <row r="647" spans="1:1" ht="15.75" thickBot="1" x14ac:dyDescent="0.3">
      <c r="A647" s="3">
        <v>1</v>
      </c>
    </row>
    <row r="648" spans="1:1" x14ac:dyDescent="0.25">
      <c r="A648" s="4" t="s">
        <v>326</v>
      </c>
    </row>
    <row r="649" spans="1:1" ht="15.75" thickBot="1" x14ac:dyDescent="0.3">
      <c r="A649" s="5" t="s">
        <v>327</v>
      </c>
    </row>
    <row r="650" spans="1:1" ht="15.75" thickBot="1" x14ac:dyDescent="0.3">
      <c r="A650" s="2">
        <v>0</v>
      </c>
    </row>
    <row r="651" spans="1:1" ht="15.75" thickBot="1" x14ac:dyDescent="0.3">
      <c r="A651" t="s">
        <v>328</v>
      </c>
    </row>
    <row r="652" spans="1:1" ht="15.75" thickBot="1" x14ac:dyDescent="0.3">
      <c r="A652" s="3">
        <v>0</v>
      </c>
    </row>
    <row r="653" spans="1:1" ht="15.75" thickBot="1" x14ac:dyDescent="0.3">
      <c r="A653" s="3">
        <v>1</v>
      </c>
    </row>
    <row r="654" spans="1:1" x14ac:dyDescent="0.25">
      <c r="A654" s="4" t="s">
        <v>329</v>
      </c>
    </row>
    <row r="655" spans="1:1" ht="15.75" thickBot="1" x14ac:dyDescent="0.3">
      <c r="A655" t="s">
        <v>330</v>
      </c>
    </row>
    <row r="656" spans="1:1" ht="15.75" thickBot="1" x14ac:dyDescent="0.3">
      <c r="A656" s="2">
        <v>0</v>
      </c>
    </row>
    <row r="657" spans="1:1" ht="15.75" thickBot="1" x14ac:dyDescent="0.3">
      <c r="A657" t="s">
        <v>331</v>
      </c>
    </row>
    <row r="658" spans="1:1" ht="15.75" thickBot="1" x14ac:dyDescent="0.3">
      <c r="A658" s="3">
        <v>0</v>
      </c>
    </row>
    <row r="659" spans="1:1" ht="15.75" thickBot="1" x14ac:dyDescent="0.3">
      <c r="A659" s="3">
        <v>1</v>
      </c>
    </row>
    <row r="660" spans="1:1" x14ac:dyDescent="0.25">
      <c r="A660" s="4" t="s">
        <v>332</v>
      </c>
    </row>
    <row r="661" spans="1:1" ht="15.75" thickBot="1" x14ac:dyDescent="0.3">
      <c r="A661" t="s">
        <v>333</v>
      </c>
    </row>
    <row r="662" spans="1:1" ht="15.75" thickBot="1" x14ac:dyDescent="0.3">
      <c r="A662" s="2">
        <v>0</v>
      </c>
    </row>
    <row r="663" spans="1:1" ht="15.75" thickBot="1" x14ac:dyDescent="0.3">
      <c r="A663" t="s">
        <v>334</v>
      </c>
    </row>
    <row r="664" spans="1:1" ht="15.75" thickBot="1" x14ac:dyDescent="0.3">
      <c r="A664" s="3">
        <v>0</v>
      </c>
    </row>
    <row r="665" spans="1:1" ht="15.75" thickBot="1" x14ac:dyDescent="0.3">
      <c r="A665" s="3">
        <v>1</v>
      </c>
    </row>
    <row r="666" spans="1:1" x14ac:dyDescent="0.25">
      <c r="A666" s="4" t="s">
        <v>335</v>
      </c>
    </row>
    <row r="667" spans="1:1" ht="15.75" thickBot="1" x14ac:dyDescent="0.3">
      <c r="A667" t="s">
        <v>336</v>
      </c>
    </row>
    <row r="668" spans="1:1" ht="15.75" thickBot="1" x14ac:dyDescent="0.3">
      <c r="A668" s="2">
        <v>0</v>
      </c>
    </row>
    <row r="669" spans="1:1" ht="15.75" thickBot="1" x14ac:dyDescent="0.3">
      <c r="A669" t="s">
        <v>337</v>
      </c>
    </row>
    <row r="670" spans="1:1" ht="15.75" thickBot="1" x14ac:dyDescent="0.3">
      <c r="A670" s="3">
        <v>0</v>
      </c>
    </row>
    <row r="671" spans="1:1" ht="15.75" thickBot="1" x14ac:dyDescent="0.3">
      <c r="A671" s="3">
        <v>1</v>
      </c>
    </row>
    <row r="672" spans="1:1" x14ac:dyDescent="0.25">
      <c r="A672" s="4" t="s">
        <v>338</v>
      </c>
    </row>
    <row r="673" spans="1:1" ht="15.75" thickBot="1" x14ac:dyDescent="0.3">
      <c r="A673" t="s">
        <v>339</v>
      </c>
    </row>
    <row r="674" spans="1:1" ht="15.75" thickBot="1" x14ac:dyDescent="0.3">
      <c r="A674" s="2">
        <v>0</v>
      </c>
    </row>
    <row r="675" spans="1:1" ht="15.75" thickBot="1" x14ac:dyDescent="0.3">
      <c r="A675" t="s">
        <v>340</v>
      </c>
    </row>
    <row r="676" spans="1:1" ht="15.75" thickBot="1" x14ac:dyDescent="0.3">
      <c r="A676" s="3">
        <v>0</v>
      </c>
    </row>
    <row r="677" spans="1:1" ht="15.75" thickBot="1" x14ac:dyDescent="0.3">
      <c r="A677" s="3">
        <v>1</v>
      </c>
    </row>
    <row r="678" spans="1:1" x14ac:dyDescent="0.25">
      <c r="A678" s="4" t="s">
        <v>341</v>
      </c>
    </row>
    <row r="679" spans="1:1" ht="15.75" thickBot="1" x14ac:dyDescent="0.3">
      <c r="A679" t="s">
        <v>342</v>
      </c>
    </row>
    <row r="680" spans="1:1" ht="15.75" thickBot="1" x14ac:dyDescent="0.3">
      <c r="A680" s="2">
        <v>0</v>
      </c>
    </row>
    <row r="681" spans="1:1" ht="15.75" thickBot="1" x14ac:dyDescent="0.3">
      <c r="A681" t="s">
        <v>343</v>
      </c>
    </row>
    <row r="682" spans="1:1" ht="15.75" thickBot="1" x14ac:dyDescent="0.3">
      <c r="A682" s="3">
        <v>0</v>
      </c>
    </row>
    <row r="683" spans="1:1" ht="15.75" thickBot="1" x14ac:dyDescent="0.3">
      <c r="A683" s="3">
        <v>1</v>
      </c>
    </row>
    <row r="684" spans="1:1" x14ac:dyDescent="0.25">
      <c r="A684" s="4" t="s">
        <v>344</v>
      </c>
    </row>
    <row r="685" spans="1:1" ht="15.75" thickBot="1" x14ac:dyDescent="0.3">
      <c r="A685" s="1" t="s">
        <v>345</v>
      </c>
    </row>
    <row r="686" spans="1:1" ht="15.75" thickBot="1" x14ac:dyDescent="0.3">
      <c r="A686" s="2">
        <v>0</v>
      </c>
    </row>
    <row r="687" spans="1:1" ht="15.75" thickBot="1" x14ac:dyDescent="0.3">
      <c r="A687" t="s">
        <v>346</v>
      </c>
    </row>
    <row r="688" spans="1:1" ht="15.75" thickBot="1" x14ac:dyDescent="0.3">
      <c r="A688" s="3">
        <v>0</v>
      </c>
    </row>
    <row r="689" spans="1:1" ht="15.75" thickBot="1" x14ac:dyDescent="0.3">
      <c r="A689" s="3">
        <v>1</v>
      </c>
    </row>
    <row r="690" spans="1:1" x14ac:dyDescent="0.25">
      <c r="A690" s="4" t="s">
        <v>347</v>
      </c>
    </row>
    <row r="691" spans="1:1" ht="15.75" thickBot="1" x14ac:dyDescent="0.3">
      <c r="A691" s="1" t="s">
        <v>348</v>
      </c>
    </row>
    <row r="692" spans="1:1" ht="15.75" thickBot="1" x14ac:dyDescent="0.3">
      <c r="A692" s="2">
        <v>0</v>
      </c>
    </row>
    <row r="693" spans="1:1" ht="15.75" thickBot="1" x14ac:dyDescent="0.3">
      <c r="A693" t="s">
        <v>349</v>
      </c>
    </row>
    <row r="694" spans="1:1" ht="15.75" thickBot="1" x14ac:dyDescent="0.3">
      <c r="A694" s="3">
        <v>0</v>
      </c>
    </row>
    <row r="695" spans="1:1" ht="15.75" thickBot="1" x14ac:dyDescent="0.3">
      <c r="A695" s="3">
        <v>1</v>
      </c>
    </row>
    <row r="696" spans="1:1" x14ac:dyDescent="0.25">
      <c r="A696" s="4" t="s">
        <v>350</v>
      </c>
    </row>
    <row r="697" spans="1:1" ht="15.75" thickBot="1" x14ac:dyDescent="0.3">
      <c r="A697" t="s">
        <v>351</v>
      </c>
    </row>
    <row r="698" spans="1:1" ht="15.75" thickBot="1" x14ac:dyDescent="0.3">
      <c r="A698" s="2">
        <v>0</v>
      </c>
    </row>
    <row r="699" spans="1:1" ht="15.75" thickBot="1" x14ac:dyDescent="0.3">
      <c r="A699" t="s">
        <v>352</v>
      </c>
    </row>
    <row r="700" spans="1:1" ht="15.75" thickBot="1" x14ac:dyDescent="0.3">
      <c r="A700" s="3">
        <v>0</v>
      </c>
    </row>
    <row r="701" spans="1:1" ht="15.75" thickBot="1" x14ac:dyDescent="0.3">
      <c r="A701" s="3">
        <v>1</v>
      </c>
    </row>
    <row r="702" spans="1:1" x14ac:dyDescent="0.25">
      <c r="A702" s="4" t="s">
        <v>353</v>
      </c>
    </row>
    <row r="703" spans="1:1" ht="15.75" thickBot="1" x14ac:dyDescent="0.3">
      <c r="A703" s="1" t="s">
        <v>354</v>
      </c>
    </row>
    <row r="704" spans="1:1" ht="15.75" thickBot="1" x14ac:dyDescent="0.3">
      <c r="A704" s="2">
        <v>0</v>
      </c>
    </row>
    <row r="705" spans="1:1" ht="15.75" thickBot="1" x14ac:dyDescent="0.3">
      <c r="A705" t="s">
        <v>355</v>
      </c>
    </row>
    <row r="706" spans="1:1" ht="15.75" thickBot="1" x14ac:dyDescent="0.3">
      <c r="A706" s="3">
        <v>0</v>
      </c>
    </row>
    <row r="707" spans="1:1" ht="15.75" thickBot="1" x14ac:dyDescent="0.3">
      <c r="A707" s="3">
        <v>1</v>
      </c>
    </row>
    <row r="708" spans="1:1" x14ac:dyDescent="0.25">
      <c r="A708" s="4" t="s">
        <v>356</v>
      </c>
    </row>
    <row r="709" spans="1:1" ht="15.75" thickBot="1" x14ac:dyDescent="0.3">
      <c r="A709" t="s">
        <v>357</v>
      </c>
    </row>
    <row r="710" spans="1:1" ht="15.75" thickBot="1" x14ac:dyDescent="0.3">
      <c r="A710" s="2">
        <v>0</v>
      </c>
    </row>
    <row r="711" spans="1:1" ht="15.75" thickBot="1" x14ac:dyDescent="0.3">
      <c r="A711" t="s">
        <v>358</v>
      </c>
    </row>
    <row r="712" spans="1:1" ht="15.75" thickBot="1" x14ac:dyDescent="0.3">
      <c r="A712" s="3">
        <v>0</v>
      </c>
    </row>
    <row r="713" spans="1:1" ht="15.75" thickBot="1" x14ac:dyDescent="0.3">
      <c r="A713" s="3">
        <v>1</v>
      </c>
    </row>
    <row r="714" spans="1:1" x14ac:dyDescent="0.25">
      <c r="A714" s="4" t="s">
        <v>359</v>
      </c>
    </row>
    <row r="715" spans="1:1" ht="15.75" thickBot="1" x14ac:dyDescent="0.3">
      <c r="A715" s="1" t="s">
        <v>360</v>
      </c>
    </row>
    <row r="716" spans="1:1" ht="15.75" thickBot="1" x14ac:dyDescent="0.3">
      <c r="A716" s="2">
        <v>0</v>
      </c>
    </row>
    <row r="717" spans="1:1" ht="15.75" thickBot="1" x14ac:dyDescent="0.3">
      <c r="A717" t="s">
        <v>361</v>
      </c>
    </row>
    <row r="718" spans="1:1" ht="15.75" thickBot="1" x14ac:dyDescent="0.3">
      <c r="A718" s="3">
        <v>0</v>
      </c>
    </row>
    <row r="719" spans="1:1" ht="15.75" thickBot="1" x14ac:dyDescent="0.3">
      <c r="A719" s="3">
        <v>1</v>
      </c>
    </row>
    <row r="720" spans="1:1" x14ac:dyDescent="0.25">
      <c r="A720" s="4" t="s">
        <v>362</v>
      </c>
    </row>
    <row r="721" spans="1:1" ht="15.75" thickBot="1" x14ac:dyDescent="0.3">
      <c r="A721" s="1" t="s">
        <v>363</v>
      </c>
    </row>
    <row r="722" spans="1:1" ht="15.75" thickBot="1" x14ac:dyDescent="0.3">
      <c r="A722" s="2">
        <v>0</v>
      </c>
    </row>
    <row r="723" spans="1:1" ht="15.75" thickBot="1" x14ac:dyDescent="0.3">
      <c r="A723" t="s">
        <v>364</v>
      </c>
    </row>
    <row r="724" spans="1:1" ht="15.75" thickBot="1" x14ac:dyDescent="0.3">
      <c r="A724" s="3">
        <v>0</v>
      </c>
    </row>
    <row r="725" spans="1:1" ht="15.75" thickBot="1" x14ac:dyDescent="0.3">
      <c r="A725" s="3">
        <v>1</v>
      </c>
    </row>
    <row r="726" spans="1:1" x14ac:dyDescent="0.25">
      <c r="A726" s="4" t="s">
        <v>365</v>
      </c>
    </row>
    <row r="727" spans="1:1" ht="15.75" thickBot="1" x14ac:dyDescent="0.3">
      <c r="A727" t="s">
        <v>366</v>
      </c>
    </row>
    <row r="728" spans="1:1" ht="15.75" thickBot="1" x14ac:dyDescent="0.3">
      <c r="A728" s="2">
        <v>0</v>
      </c>
    </row>
    <row r="729" spans="1:1" ht="15.75" thickBot="1" x14ac:dyDescent="0.3">
      <c r="A729" t="s">
        <v>367</v>
      </c>
    </row>
    <row r="730" spans="1:1" ht="15.75" thickBot="1" x14ac:dyDescent="0.3">
      <c r="A730" s="3">
        <v>0</v>
      </c>
    </row>
    <row r="731" spans="1:1" ht="15.75" thickBot="1" x14ac:dyDescent="0.3">
      <c r="A731" s="3">
        <v>1</v>
      </c>
    </row>
    <row r="732" spans="1:1" x14ac:dyDescent="0.25">
      <c r="A732" s="4" t="s">
        <v>368</v>
      </c>
    </row>
    <row r="733" spans="1:1" ht="15.75" thickBot="1" x14ac:dyDescent="0.3">
      <c r="A733" s="1" t="s">
        <v>369</v>
      </c>
    </row>
    <row r="734" spans="1:1" ht="15.75" thickBot="1" x14ac:dyDescent="0.3">
      <c r="A734" s="2">
        <v>0</v>
      </c>
    </row>
    <row r="735" spans="1:1" ht="15.75" thickBot="1" x14ac:dyDescent="0.3">
      <c r="A735" t="s">
        <v>370</v>
      </c>
    </row>
    <row r="736" spans="1:1" ht="15.75" thickBot="1" x14ac:dyDescent="0.3">
      <c r="A736" s="3">
        <v>0</v>
      </c>
    </row>
    <row r="737" spans="1:1" ht="15.75" thickBot="1" x14ac:dyDescent="0.3">
      <c r="A737" s="3">
        <v>1</v>
      </c>
    </row>
    <row r="738" spans="1:1" x14ac:dyDescent="0.25">
      <c r="A738" s="4" t="s">
        <v>371</v>
      </c>
    </row>
    <row r="739" spans="1:1" ht="15.75" thickBot="1" x14ac:dyDescent="0.3">
      <c r="A739" t="s">
        <v>372</v>
      </c>
    </row>
    <row r="740" spans="1:1" ht="15.75" thickBot="1" x14ac:dyDescent="0.3">
      <c r="A740" s="2">
        <v>0</v>
      </c>
    </row>
    <row r="741" spans="1:1" ht="15.75" thickBot="1" x14ac:dyDescent="0.3">
      <c r="A741" t="s">
        <v>373</v>
      </c>
    </row>
    <row r="742" spans="1:1" ht="15.75" thickBot="1" x14ac:dyDescent="0.3">
      <c r="A742" s="3">
        <v>0</v>
      </c>
    </row>
    <row r="743" spans="1:1" ht="15.75" thickBot="1" x14ac:dyDescent="0.3">
      <c r="A743" s="3">
        <v>1</v>
      </c>
    </row>
    <row r="744" spans="1:1" x14ac:dyDescent="0.25">
      <c r="A744" s="4" t="s">
        <v>374</v>
      </c>
    </row>
    <row r="745" spans="1:1" ht="15.75" thickBot="1" x14ac:dyDescent="0.3">
      <c r="A745" s="1" t="s">
        <v>375</v>
      </c>
    </row>
    <row r="746" spans="1:1" ht="15.75" thickBot="1" x14ac:dyDescent="0.3">
      <c r="A746" s="2">
        <v>0</v>
      </c>
    </row>
    <row r="747" spans="1:1" ht="15.75" thickBot="1" x14ac:dyDescent="0.3">
      <c r="A747" t="s">
        <v>376</v>
      </c>
    </row>
    <row r="748" spans="1:1" ht="15.75" thickBot="1" x14ac:dyDescent="0.3">
      <c r="A748" s="3">
        <v>0</v>
      </c>
    </row>
    <row r="749" spans="1:1" ht="15.75" thickBot="1" x14ac:dyDescent="0.3">
      <c r="A749" s="3">
        <v>1</v>
      </c>
    </row>
    <row r="750" spans="1:1" x14ac:dyDescent="0.25">
      <c r="A750" s="4" t="s">
        <v>377</v>
      </c>
    </row>
    <row r="751" spans="1:1" ht="15.75" thickBot="1" x14ac:dyDescent="0.3">
      <c r="A751" s="5" t="s">
        <v>378</v>
      </c>
    </row>
    <row r="752" spans="1:1" ht="15.75" thickBot="1" x14ac:dyDescent="0.3">
      <c r="A752" s="2">
        <v>0</v>
      </c>
    </row>
    <row r="753" spans="1:1" ht="15.75" thickBot="1" x14ac:dyDescent="0.3">
      <c r="A753" t="s">
        <v>379</v>
      </c>
    </row>
    <row r="754" spans="1:1" ht="15.75" thickBot="1" x14ac:dyDescent="0.3">
      <c r="A754" s="3">
        <v>0</v>
      </c>
    </row>
    <row r="755" spans="1:1" ht="15.75" thickBot="1" x14ac:dyDescent="0.3">
      <c r="A755" s="3">
        <v>1</v>
      </c>
    </row>
    <row r="756" spans="1:1" x14ac:dyDescent="0.25">
      <c r="A756" s="4" t="s">
        <v>380</v>
      </c>
    </row>
    <row r="757" spans="1:1" ht="15.75" thickBot="1" x14ac:dyDescent="0.3">
      <c r="A757" t="s">
        <v>381</v>
      </c>
    </row>
    <row r="758" spans="1:1" ht="15.75" thickBot="1" x14ac:dyDescent="0.3">
      <c r="A758" s="2">
        <v>0</v>
      </c>
    </row>
    <row r="759" spans="1:1" ht="15.75" thickBot="1" x14ac:dyDescent="0.3">
      <c r="A759" t="s">
        <v>382</v>
      </c>
    </row>
    <row r="760" spans="1:1" ht="15.75" thickBot="1" x14ac:dyDescent="0.3">
      <c r="A760" s="3">
        <v>0</v>
      </c>
    </row>
    <row r="761" spans="1:1" ht="15.75" thickBot="1" x14ac:dyDescent="0.3">
      <c r="A761" s="3">
        <v>1</v>
      </c>
    </row>
    <row r="762" spans="1:1" x14ac:dyDescent="0.25">
      <c r="A762" s="4" t="s">
        <v>383</v>
      </c>
    </row>
    <row r="763" spans="1:1" ht="15.75" thickBot="1" x14ac:dyDescent="0.3">
      <c r="A763" t="s">
        <v>384</v>
      </c>
    </row>
    <row r="764" spans="1:1" ht="15.75" thickBot="1" x14ac:dyDescent="0.3">
      <c r="A764" s="2">
        <v>0</v>
      </c>
    </row>
    <row r="765" spans="1:1" ht="15.75" thickBot="1" x14ac:dyDescent="0.3">
      <c r="A765" t="s">
        <v>385</v>
      </c>
    </row>
    <row r="766" spans="1:1" ht="15.75" thickBot="1" x14ac:dyDescent="0.3">
      <c r="A766" s="3">
        <v>0</v>
      </c>
    </row>
    <row r="767" spans="1:1" ht="15.75" thickBot="1" x14ac:dyDescent="0.3">
      <c r="A767" s="3">
        <v>1</v>
      </c>
    </row>
    <row r="768" spans="1:1" x14ac:dyDescent="0.25">
      <c r="A768" s="4" t="s">
        <v>386</v>
      </c>
    </row>
    <row r="769" spans="1:1" ht="15.75" thickBot="1" x14ac:dyDescent="0.3">
      <c r="A769" s="1" t="s">
        <v>387</v>
      </c>
    </row>
    <row r="770" spans="1:1" ht="15.75" thickBot="1" x14ac:dyDescent="0.3">
      <c r="A770" s="2">
        <v>0</v>
      </c>
    </row>
    <row r="771" spans="1:1" ht="15.75" thickBot="1" x14ac:dyDescent="0.3">
      <c r="A771" t="s">
        <v>388</v>
      </c>
    </row>
    <row r="772" spans="1:1" ht="15.75" thickBot="1" x14ac:dyDescent="0.3">
      <c r="A772" s="3">
        <v>0</v>
      </c>
    </row>
    <row r="773" spans="1:1" ht="15.75" thickBot="1" x14ac:dyDescent="0.3">
      <c r="A773" s="3">
        <v>1</v>
      </c>
    </row>
    <row r="774" spans="1:1" x14ac:dyDescent="0.25">
      <c r="A774" s="4" t="s">
        <v>389</v>
      </c>
    </row>
    <row r="775" spans="1:1" ht="15.75" thickBot="1" x14ac:dyDescent="0.3">
      <c r="A775" s="1" t="s">
        <v>390</v>
      </c>
    </row>
    <row r="776" spans="1:1" ht="15.75" thickBot="1" x14ac:dyDescent="0.3">
      <c r="A776" s="2">
        <v>0</v>
      </c>
    </row>
    <row r="777" spans="1:1" ht="15.75" thickBot="1" x14ac:dyDescent="0.3">
      <c r="A777" t="s">
        <v>391</v>
      </c>
    </row>
    <row r="778" spans="1:1" ht="15.75" thickBot="1" x14ac:dyDescent="0.3">
      <c r="A778" s="3">
        <v>0</v>
      </c>
    </row>
    <row r="779" spans="1:1" ht="15.75" thickBot="1" x14ac:dyDescent="0.3">
      <c r="A779" s="3">
        <v>1</v>
      </c>
    </row>
    <row r="780" spans="1:1" x14ac:dyDescent="0.25">
      <c r="A780" s="4" t="s">
        <v>392</v>
      </c>
    </row>
    <row r="781" spans="1:1" ht="15.75" thickBot="1" x14ac:dyDescent="0.3">
      <c r="A781" t="s">
        <v>393</v>
      </c>
    </row>
    <row r="782" spans="1:1" ht="15.75" thickBot="1" x14ac:dyDescent="0.3">
      <c r="A782" s="2">
        <v>0</v>
      </c>
    </row>
    <row r="783" spans="1:1" ht="15.75" thickBot="1" x14ac:dyDescent="0.3">
      <c r="A783" t="s">
        <v>394</v>
      </c>
    </row>
    <row r="784" spans="1:1" ht="15.75" thickBot="1" x14ac:dyDescent="0.3">
      <c r="A784" s="3">
        <v>0</v>
      </c>
    </row>
    <row r="785" spans="1:1" ht="15.75" thickBot="1" x14ac:dyDescent="0.3">
      <c r="A785" s="3">
        <v>1</v>
      </c>
    </row>
    <row r="786" spans="1:1" x14ac:dyDescent="0.25">
      <c r="A786" s="4" t="s">
        <v>395</v>
      </c>
    </row>
    <row r="787" spans="1:1" ht="15.75" thickBot="1" x14ac:dyDescent="0.3">
      <c r="A787" t="s">
        <v>396</v>
      </c>
    </row>
    <row r="788" spans="1:1" ht="15.75" thickBot="1" x14ac:dyDescent="0.3">
      <c r="A788" s="2">
        <v>0</v>
      </c>
    </row>
    <row r="789" spans="1:1" ht="15.75" thickBot="1" x14ac:dyDescent="0.3">
      <c r="A789" t="s">
        <v>397</v>
      </c>
    </row>
    <row r="790" spans="1:1" ht="15.75" thickBot="1" x14ac:dyDescent="0.3">
      <c r="A790" s="3">
        <v>0</v>
      </c>
    </row>
    <row r="791" spans="1:1" ht="15.75" thickBot="1" x14ac:dyDescent="0.3">
      <c r="A791" s="3">
        <v>1</v>
      </c>
    </row>
    <row r="792" spans="1:1" x14ac:dyDescent="0.25">
      <c r="A792" s="4" t="s">
        <v>398</v>
      </c>
    </row>
    <row r="793" spans="1:1" ht="15.75" thickBot="1" x14ac:dyDescent="0.3">
      <c r="A793" s="1" t="s">
        <v>399</v>
      </c>
    </row>
    <row r="794" spans="1:1" ht="15.75" thickBot="1" x14ac:dyDescent="0.3">
      <c r="A794" s="2">
        <v>0</v>
      </c>
    </row>
    <row r="795" spans="1:1" ht="15.75" thickBot="1" x14ac:dyDescent="0.3">
      <c r="A795" t="s">
        <v>400</v>
      </c>
    </row>
    <row r="796" spans="1:1" ht="15.75" thickBot="1" x14ac:dyDescent="0.3">
      <c r="A796" s="3">
        <v>0</v>
      </c>
    </row>
    <row r="797" spans="1:1" ht="15.75" thickBot="1" x14ac:dyDescent="0.3">
      <c r="A797" s="3">
        <v>1</v>
      </c>
    </row>
    <row r="798" spans="1:1" x14ac:dyDescent="0.25">
      <c r="A798" s="4" t="s">
        <v>401</v>
      </c>
    </row>
    <row r="799" spans="1:1" ht="15.75" thickBot="1" x14ac:dyDescent="0.3">
      <c r="A799" t="s">
        <v>402</v>
      </c>
    </row>
    <row r="800" spans="1:1" ht="15.75" thickBot="1" x14ac:dyDescent="0.3">
      <c r="A800" s="2">
        <v>0</v>
      </c>
    </row>
    <row r="801" spans="1:1" ht="15.75" thickBot="1" x14ac:dyDescent="0.3">
      <c r="A801" t="s">
        <v>403</v>
      </c>
    </row>
    <row r="802" spans="1:1" ht="15.75" thickBot="1" x14ac:dyDescent="0.3">
      <c r="A802" s="3">
        <v>0</v>
      </c>
    </row>
    <row r="803" spans="1:1" ht="15.75" thickBot="1" x14ac:dyDescent="0.3">
      <c r="A803" s="3">
        <v>1</v>
      </c>
    </row>
    <row r="804" spans="1:1" x14ac:dyDescent="0.25">
      <c r="A804" s="4" t="s">
        <v>404</v>
      </c>
    </row>
    <row r="805" spans="1:1" ht="15.75" thickBot="1" x14ac:dyDescent="0.3">
      <c r="A805" t="s">
        <v>405</v>
      </c>
    </row>
    <row r="806" spans="1:1" ht="15.75" thickBot="1" x14ac:dyDescent="0.3">
      <c r="A806" s="2">
        <v>0</v>
      </c>
    </row>
    <row r="807" spans="1:1" ht="15.75" thickBot="1" x14ac:dyDescent="0.3">
      <c r="A807" t="s">
        <v>406</v>
      </c>
    </row>
    <row r="808" spans="1:1" ht="15.75" thickBot="1" x14ac:dyDescent="0.3">
      <c r="A808" s="3">
        <v>0</v>
      </c>
    </row>
    <row r="809" spans="1:1" ht="15.75" thickBot="1" x14ac:dyDescent="0.3">
      <c r="A809" s="3">
        <v>1</v>
      </c>
    </row>
    <row r="810" spans="1:1" x14ac:dyDescent="0.25">
      <c r="A810" s="4" t="s">
        <v>407</v>
      </c>
    </row>
    <row r="811" spans="1:1" ht="15.75" thickBot="1" x14ac:dyDescent="0.3">
      <c r="A811" s="1" t="s">
        <v>408</v>
      </c>
    </row>
    <row r="812" spans="1:1" ht="15.75" thickBot="1" x14ac:dyDescent="0.3">
      <c r="A812" s="2">
        <v>0</v>
      </c>
    </row>
    <row r="813" spans="1:1" ht="15.75" thickBot="1" x14ac:dyDescent="0.3">
      <c r="A813" t="s">
        <v>409</v>
      </c>
    </row>
    <row r="814" spans="1:1" ht="15.75" thickBot="1" x14ac:dyDescent="0.3">
      <c r="A814" s="3">
        <v>0</v>
      </c>
    </row>
    <row r="815" spans="1:1" ht="15.75" thickBot="1" x14ac:dyDescent="0.3">
      <c r="A815" s="3">
        <v>1</v>
      </c>
    </row>
    <row r="816" spans="1:1" x14ac:dyDescent="0.25">
      <c r="A816" s="4" t="s">
        <v>410</v>
      </c>
    </row>
    <row r="817" spans="1:1" ht="15.75" thickBot="1" x14ac:dyDescent="0.3">
      <c r="A817" t="s">
        <v>411</v>
      </c>
    </row>
    <row r="818" spans="1:1" ht="15.75" thickBot="1" x14ac:dyDescent="0.3">
      <c r="A818" s="2">
        <v>0</v>
      </c>
    </row>
    <row r="819" spans="1:1" ht="15.75" thickBot="1" x14ac:dyDescent="0.3">
      <c r="A819" t="s">
        <v>412</v>
      </c>
    </row>
    <row r="820" spans="1:1" ht="15.75" thickBot="1" x14ac:dyDescent="0.3">
      <c r="A820" s="3">
        <v>0</v>
      </c>
    </row>
    <row r="821" spans="1:1" ht="15.75" thickBot="1" x14ac:dyDescent="0.3">
      <c r="A821" s="3">
        <v>1</v>
      </c>
    </row>
    <row r="822" spans="1:1" x14ac:dyDescent="0.25">
      <c r="A822" s="4" t="s">
        <v>413</v>
      </c>
    </row>
    <row r="823" spans="1:1" ht="15.75" thickBot="1" x14ac:dyDescent="0.3">
      <c r="A823" s="1" t="s">
        <v>414</v>
      </c>
    </row>
    <row r="824" spans="1:1" ht="15.75" thickBot="1" x14ac:dyDescent="0.3">
      <c r="A824" s="2">
        <v>0</v>
      </c>
    </row>
    <row r="825" spans="1:1" ht="15.75" thickBot="1" x14ac:dyDescent="0.3">
      <c r="A825" t="s">
        <v>415</v>
      </c>
    </row>
    <row r="826" spans="1:1" ht="15.75" thickBot="1" x14ac:dyDescent="0.3">
      <c r="A826" s="3">
        <v>0</v>
      </c>
    </row>
    <row r="827" spans="1:1" ht="15.75" thickBot="1" x14ac:dyDescent="0.3">
      <c r="A827" s="3">
        <v>1</v>
      </c>
    </row>
    <row r="828" spans="1:1" x14ac:dyDescent="0.25">
      <c r="A828" s="4" t="s">
        <v>416</v>
      </c>
    </row>
    <row r="829" spans="1:1" ht="15.75" thickBot="1" x14ac:dyDescent="0.3">
      <c r="A829" t="s">
        <v>417</v>
      </c>
    </row>
    <row r="830" spans="1:1" ht="15.75" thickBot="1" x14ac:dyDescent="0.3">
      <c r="A830" s="2">
        <v>0</v>
      </c>
    </row>
    <row r="831" spans="1:1" ht="15.75" thickBot="1" x14ac:dyDescent="0.3">
      <c r="A831" t="s">
        <v>418</v>
      </c>
    </row>
    <row r="832" spans="1:1" ht="15.75" thickBot="1" x14ac:dyDescent="0.3">
      <c r="A832" s="3">
        <v>0</v>
      </c>
    </row>
    <row r="833" spans="1:1" ht="15.75" thickBot="1" x14ac:dyDescent="0.3">
      <c r="A833" s="3">
        <v>1</v>
      </c>
    </row>
    <row r="834" spans="1:1" x14ac:dyDescent="0.25">
      <c r="A834" s="4" t="s">
        <v>419</v>
      </c>
    </row>
    <row r="835" spans="1:1" ht="15.75" thickBot="1" x14ac:dyDescent="0.3">
      <c r="A835" t="s">
        <v>420</v>
      </c>
    </row>
    <row r="836" spans="1:1" ht="15.75" thickBot="1" x14ac:dyDescent="0.3">
      <c r="A836" s="2">
        <v>0</v>
      </c>
    </row>
    <row r="837" spans="1:1" ht="15.75" thickBot="1" x14ac:dyDescent="0.3">
      <c r="A837" t="s">
        <v>421</v>
      </c>
    </row>
    <row r="838" spans="1:1" ht="15.75" thickBot="1" x14ac:dyDescent="0.3">
      <c r="A838" s="3">
        <v>0</v>
      </c>
    </row>
    <row r="839" spans="1:1" ht="15.75" thickBot="1" x14ac:dyDescent="0.3">
      <c r="A839" s="3">
        <v>1</v>
      </c>
    </row>
    <row r="840" spans="1:1" x14ac:dyDescent="0.25">
      <c r="A840" s="4" t="s">
        <v>422</v>
      </c>
    </row>
    <row r="841" spans="1:1" ht="15.75" thickBot="1" x14ac:dyDescent="0.3">
      <c r="A841" s="1" t="s">
        <v>423</v>
      </c>
    </row>
    <row r="842" spans="1:1" ht="15.75" thickBot="1" x14ac:dyDescent="0.3">
      <c r="A842" s="2">
        <v>0</v>
      </c>
    </row>
    <row r="843" spans="1:1" ht="15.75" thickBot="1" x14ac:dyDescent="0.3">
      <c r="A843" t="s">
        <v>424</v>
      </c>
    </row>
    <row r="844" spans="1:1" ht="15.75" thickBot="1" x14ac:dyDescent="0.3">
      <c r="A844" s="3">
        <v>0</v>
      </c>
    </row>
    <row r="845" spans="1:1" ht="15.75" thickBot="1" x14ac:dyDescent="0.3">
      <c r="A845" s="3">
        <v>1</v>
      </c>
    </row>
    <row r="846" spans="1:1" x14ac:dyDescent="0.25">
      <c r="A846" s="4" t="s">
        <v>425</v>
      </c>
    </row>
    <row r="847" spans="1:1" ht="15.75" thickBot="1" x14ac:dyDescent="0.3">
      <c r="A847" t="s">
        <v>426</v>
      </c>
    </row>
    <row r="848" spans="1:1" ht="15.75" thickBot="1" x14ac:dyDescent="0.3">
      <c r="A848" s="2">
        <v>0</v>
      </c>
    </row>
    <row r="849" spans="1:1" ht="15.75" thickBot="1" x14ac:dyDescent="0.3">
      <c r="A849" t="s">
        <v>427</v>
      </c>
    </row>
    <row r="850" spans="1:1" ht="15.75" thickBot="1" x14ac:dyDescent="0.3">
      <c r="A850" s="3">
        <v>0</v>
      </c>
    </row>
    <row r="851" spans="1:1" ht="15.75" thickBot="1" x14ac:dyDescent="0.3">
      <c r="A851" s="3">
        <v>1</v>
      </c>
    </row>
    <row r="852" spans="1:1" x14ac:dyDescent="0.25">
      <c r="A852" s="4" t="s">
        <v>428</v>
      </c>
    </row>
    <row r="853" spans="1:1" ht="15.75" thickBot="1" x14ac:dyDescent="0.3">
      <c r="A853" s="1" t="s">
        <v>429</v>
      </c>
    </row>
    <row r="854" spans="1:1" ht="15.75" thickBot="1" x14ac:dyDescent="0.3">
      <c r="A854" s="2">
        <v>0</v>
      </c>
    </row>
    <row r="855" spans="1:1" ht="15.75" thickBot="1" x14ac:dyDescent="0.3">
      <c r="A855" t="s">
        <v>430</v>
      </c>
    </row>
    <row r="856" spans="1:1" ht="15.75" thickBot="1" x14ac:dyDescent="0.3">
      <c r="A856" s="3">
        <v>0</v>
      </c>
    </row>
    <row r="857" spans="1:1" ht="15.75" thickBot="1" x14ac:dyDescent="0.3">
      <c r="A857" s="3">
        <v>1</v>
      </c>
    </row>
    <row r="858" spans="1:1" x14ac:dyDescent="0.25">
      <c r="A858" s="4" t="s">
        <v>431</v>
      </c>
    </row>
    <row r="859" spans="1:1" ht="15.75" thickBot="1" x14ac:dyDescent="0.3">
      <c r="A859" t="s">
        <v>432</v>
      </c>
    </row>
    <row r="860" spans="1:1" ht="15.75" thickBot="1" x14ac:dyDescent="0.3">
      <c r="A860" s="2">
        <v>0</v>
      </c>
    </row>
    <row r="861" spans="1:1" ht="15.75" thickBot="1" x14ac:dyDescent="0.3">
      <c r="A861" t="s">
        <v>433</v>
      </c>
    </row>
    <row r="862" spans="1:1" ht="15.75" thickBot="1" x14ac:dyDescent="0.3">
      <c r="A862" s="3">
        <v>0</v>
      </c>
    </row>
    <row r="863" spans="1:1" ht="15.75" thickBot="1" x14ac:dyDescent="0.3">
      <c r="A863" s="3">
        <v>1</v>
      </c>
    </row>
    <row r="864" spans="1:1" x14ac:dyDescent="0.25">
      <c r="A864" s="4" t="s">
        <v>434</v>
      </c>
    </row>
    <row r="865" spans="1:1" ht="15.75" thickBot="1" x14ac:dyDescent="0.3">
      <c r="A865" s="1" t="s">
        <v>435</v>
      </c>
    </row>
    <row r="866" spans="1:1" ht="15.75" thickBot="1" x14ac:dyDescent="0.3">
      <c r="A866" s="2">
        <v>0</v>
      </c>
    </row>
    <row r="867" spans="1:1" ht="15.75" thickBot="1" x14ac:dyDescent="0.3">
      <c r="A867" t="s">
        <v>436</v>
      </c>
    </row>
    <row r="868" spans="1:1" ht="15.75" thickBot="1" x14ac:dyDescent="0.3">
      <c r="A868" s="3">
        <v>0</v>
      </c>
    </row>
    <row r="869" spans="1:1" ht="15.75" thickBot="1" x14ac:dyDescent="0.3">
      <c r="A869" s="3">
        <v>1</v>
      </c>
    </row>
    <row r="870" spans="1:1" x14ac:dyDescent="0.25">
      <c r="A870" s="4" t="s">
        <v>437</v>
      </c>
    </row>
    <row r="871" spans="1:1" ht="15.75" thickBot="1" x14ac:dyDescent="0.3">
      <c r="A871" s="5" t="s">
        <v>438</v>
      </c>
    </row>
    <row r="872" spans="1:1" ht="15.75" thickBot="1" x14ac:dyDescent="0.3">
      <c r="A872" s="2">
        <v>0</v>
      </c>
    </row>
    <row r="873" spans="1:1" ht="15.75" thickBot="1" x14ac:dyDescent="0.3">
      <c r="A873" t="s">
        <v>439</v>
      </c>
    </row>
    <row r="874" spans="1:1" ht="15.75" thickBot="1" x14ac:dyDescent="0.3">
      <c r="A874" s="3">
        <v>0</v>
      </c>
    </row>
    <row r="875" spans="1:1" ht="15.75" thickBot="1" x14ac:dyDescent="0.3">
      <c r="A875" s="3">
        <v>1</v>
      </c>
    </row>
    <row r="876" spans="1:1" x14ac:dyDescent="0.25">
      <c r="A876" s="4" t="s">
        <v>440</v>
      </c>
    </row>
    <row r="877" spans="1:1" ht="15.75" thickBot="1" x14ac:dyDescent="0.3">
      <c r="A877" t="s">
        <v>441</v>
      </c>
    </row>
    <row r="878" spans="1:1" ht="15.75" thickBot="1" x14ac:dyDescent="0.3">
      <c r="A878" s="2">
        <v>0</v>
      </c>
    </row>
    <row r="879" spans="1:1" ht="15.75" thickBot="1" x14ac:dyDescent="0.3">
      <c r="A879" t="s">
        <v>442</v>
      </c>
    </row>
    <row r="880" spans="1:1" ht="15.75" thickBot="1" x14ac:dyDescent="0.3">
      <c r="A880" s="3">
        <v>0</v>
      </c>
    </row>
    <row r="881" spans="1:1" ht="15.75" thickBot="1" x14ac:dyDescent="0.3">
      <c r="A881" s="3">
        <v>1</v>
      </c>
    </row>
    <row r="882" spans="1:1" x14ac:dyDescent="0.25">
      <c r="A882" s="4" t="s">
        <v>443</v>
      </c>
    </row>
    <row r="883" spans="1:1" ht="15.75" thickBot="1" x14ac:dyDescent="0.3">
      <c r="A883" t="s">
        <v>444</v>
      </c>
    </row>
    <row r="884" spans="1:1" ht="15.75" thickBot="1" x14ac:dyDescent="0.3">
      <c r="A884" s="2">
        <v>0</v>
      </c>
    </row>
    <row r="885" spans="1:1" ht="15.75" thickBot="1" x14ac:dyDescent="0.3">
      <c r="A885" t="s">
        <v>445</v>
      </c>
    </row>
    <row r="886" spans="1:1" ht="15.75" thickBot="1" x14ac:dyDescent="0.3">
      <c r="A886" s="3">
        <v>0</v>
      </c>
    </row>
    <row r="887" spans="1:1" ht="15.75" thickBot="1" x14ac:dyDescent="0.3">
      <c r="A887" s="3">
        <v>1</v>
      </c>
    </row>
    <row r="888" spans="1:1" x14ac:dyDescent="0.25">
      <c r="A888" s="4" t="s">
        <v>446</v>
      </c>
    </row>
    <row r="889" spans="1:1" ht="15.75" thickBot="1" x14ac:dyDescent="0.3">
      <c r="A889" s="1" t="s">
        <v>447</v>
      </c>
    </row>
    <row r="890" spans="1:1" ht="15.75" thickBot="1" x14ac:dyDescent="0.3">
      <c r="A890" s="2">
        <v>0</v>
      </c>
    </row>
    <row r="891" spans="1:1" ht="15.75" thickBot="1" x14ac:dyDescent="0.3">
      <c r="A891" t="s">
        <v>448</v>
      </c>
    </row>
    <row r="892" spans="1:1" ht="15.75" thickBot="1" x14ac:dyDescent="0.3">
      <c r="A892" s="3">
        <v>0</v>
      </c>
    </row>
    <row r="893" spans="1:1" ht="15.75" thickBot="1" x14ac:dyDescent="0.3">
      <c r="A893" s="3">
        <v>1</v>
      </c>
    </row>
    <row r="894" spans="1:1" x14ac:dyDescent="0.25">
      <c r="A894" s="4" t="s">
        <v>449</v>
      </c>
    </row>
    <row r="895" spans="1:1" ht="15.75" thickBot="1" x14ac:dyDescent="0.3">
      <c r="A895" s="1" t="s">
        <v>450</v>
      </c>
    </row>
    <row r="896" spans="1:1" ht="15.75" thickBot="1" x14ac:dyDescent="0.3">
      <c r="A896" s="2">
        <v>0</v>
      </c>
    </row>
    <row r="897" spans="1:1" ht="15.75" thickBot="1" x14ac:dyDescent="0.3">
      <c r="A897" t="s">
        <v>451</v>
      </c>
    </row>
    <row r="898" spans="1:1" ht="15.75" thickBot="1" x14ac:dyDescent="0.3">
      <c r="A898" s="3">
        <v>0</v>
      </c>
    </row>
    <row r="899" spans="1:1" ht="15.75" thickBot="1" x14ac:dyDescent="0.3">
      <c r="A899" s="3">
        <v>1</v>
      </c>
    </row>
    <row r="900" spans="1:1" x14ac:dyDescent="0.25">
      <c r="A900" s="4" t="s">
        <v>452</v>
      </c>
    </row>
    <row r="901" spans="1:1" ht="15.75" thickBot="1" x14ac:dyDescent="0.3">
      <c r="A901" s="1" t="s">
        <v>453</v>
      </c>
    </row>
    <row r="902" spans="1:1" ht="15.75" thickBot="1" x14ac:dyDescent="0.3">
      <c r="A902" s="2">
        <v>0</v>
      </c>
    </row>
    <row r="903" spans="1:1" ht="15.75" thickBot="1" x14ac:dyDescent="0.3">
      <c r="A903" t="s">
        <v>454</v>
      </c>
    </row>
    <row r="904" spans="1:1" ht="15.75" thickBot="1" x14ac:dyDescent="0.3">
      <c r="A904" s="3">
        <v>0</v>
      </c>
    </row>
    <row r="905" spans="1:1" ht="15.75" thickBot="1" x14ac:dyDescent="0.3">
      <c r="A905" s="3">
        <v>1</v>
      </c>
    </row>
    <row r="906" spans="1:1" x14ac:dyDescent="0.25">
      <c r="A906" s="4" t="s">
        <v>455</v>
      </c>
    </row>
    <row r="907" spans="1:1" ht="15.75" thickBot="1" x14ac:dyDescent="0.3">
      <c r="A907" t="s">
        <v>456</v>
      </c>
    </row>
    <row r="908" spans="1:1" ht="15.75" thickBot="1" x14ac:dyDescent="0.3">
      <c r="A908" s="2">
        <v>0</v>
      </c>
    </row>
    <row r="909" spans="1:1" ht="15.75" thickBot="1" x14ac:dyDescent="0.3">
      <c r="A909" t="s">
        <v>457</v>
      </c>
    </row>
    <row r="910" spans="1:1" ht="15.75" thickBot="1" x14ac:dyDescent="0.3">
      <c r="A910" s="3">
        <v>0</v>
      </c>
    </row>
    <row r="911" spans="1:1" ht="15.75" thickBot="1" x14ac:dyDescent="0.3">
      <c r="A911" s="3">
        <v>1</v>
      </c>
    </row>
    <row r="912" spans="1:1" x14ac:dyDescent="0.25">
      <c r="A912" s="4" t="s">
        <v>458</v>
      </c>
    </row>
    <row r="913" spans="1:1" ht="15.75" thickBot="1" x14ac:dyDescent="0.3">
      <c r="A913" t="s">
        <v>459</v>
      </c>
    </row>
    <row r="914" spans="1:1" ht="15.75" thickBot="1" x14ac:dyDescent="0.3">
      <c r="A914" s="2">
        <v>0</v>
      </c>
    </row>
    <row r="915" spans="1:1" ht="15.75" thickBot="1" x14ac:dyDescent="0.3">
      <c r="A915" t="s">
        <v>460</v>
      </c>
    </row>
    <row r="916" spans="1:1" ht="15.75" thickBot="1" x14ac:dyDescent="0.3">
      <c r="A916" s="3">
        <v>0</v>
      </c>
    </row>
    <row r="917" spans="1:1" ht="15.75" thickBot="1" x14ac:dyDescent="0.3">
      <c r="A917" s="3">
        <v>1</v>
      </c>
    </row>
    <row r="918" spans="1:1" x14ac:dyDescent="0.25">
      <c r="A918" s="4" t="s">
        <v>461</v>
      </c>
    </row>
    <row r="919" spans="1:1" ht="15.75" thickBot="1" x14ac:dyDescent="0.3">
      <c r="A919" t="s">
        <v>462</v>
      </c>
    </row>
    <row r="920" spans="1:1" ht="15.75" thickBot="1" x14ac:dyDescent="0.3">
      <c r="A920" s="2">
        <v>0</v>
      </c>
    </row>
    <row r="921" spans="1:1" ht="15.75" thickBot="1" x14ac:dyDescent="0.3">
      <c r="A921" t="s">
        <v>463</v>
      </c>
    </row>
    <row r="922" spans="1:1" ht="15.75" thickBot="1" x14ac:dyDescent="0.3">
      <c r="A922" s="3">
        <v>0</v>
      </c>
    </row>
    <row r="923" spans="1:1" ht="15.75" thickBot="1" x14ac:dyDescent="0.3">
      <c r="A923" s="3">
        <v>1</v>
      </c>
    </row>
    <row r="924" spans="1:1" x14ac:dyDescent="0.25">
      <c r="A924" s="4" t="s">
        <v>464</v>
      </c>
    </row>
    <row r="925" spans="1:1" ht="15.75" thickBot="1" x14ac:dyDescent="0.3">
      <c r="A925" s="1" t="s">
        <v>465</v>
      </c>
    </row>
    <row r="926" spans="1:1" ht="15.75" thickBot="1" x14ac:dyDescent="0.3">
      <c r="A926" s="2">
        <v>0</v>
      </c>
    </row>
    <row r="927" spans="1:1" ht="15.75" thickBot="1" x14ac:dyDescent="0.3">
      <c r="A927" t="s">
        <v>466</v>
      </c>
    </row>
    <row r="928" spans="1:1" ht="15.75" thickBot="1" x14ac:dyDescent="0.3">
      <c r="A928" s="3">
        <v>0</v>
      </c>
    </row>
    <row r="929" spans="1:1" ht="15.75" thickBot="1" x14ac:dyDescent="0.3">
      <c r="A929" s="3">
        <v>1</v>
      </c>
    </row>
    <row r="930" spans="1:1" x14ac:dyDescent="0.25">
      <c r="A930" s="4" t="s">
        <v>467</v>
      </c>
    </row>
    <row r="931" spans="1:1" ht="15.75" thickBot="1" x14ac:dyDescent="0.3">
      <c r="A931" s="1" t="s">
        <v>468</v>
      </c>
    </row>
    <row r="932" spans="1:1" ht="15.75" thickBot="1" x14ac:dyDescent="0.3">
      <c r="A932" s="2">
        <v>0</v>
      </c>
    </row>
    <row r="933" spans="1:1" ht="15.75" thickBot="1" x14ac:dyDescent="0.3">
      <c r="A933" t="s">
        <v>469</v>
      </c>
    </row>
    <row r="934" spans="1:1" ht="15.75" thickBot="1" x14ac:dyDescent="0.3">
      <c r="A934" s="3">
        <v>0</v>
      </c>
    </row>
    <row r="935" spans="1:1" ht="15.75" thickBot="1" x14ac:dyDescent="0.3">
      <c r="A935" s="3">
        <v>1</v>
      </c>
    </row>
    <row r="936" spans="1:1" x14ac:dyDescent="0.25">
      <c r="A936" s="4" t="s">
        <v>470</v>
      </c>
    </row>
    <row r="937" spans="1:1" ht="15.75" thickBot="1" x14ac:dyDescent="0.3">
      <c r="A937" t="s">
        <v>471</v>
      </c>
    </row>
    <row r="938" spans="1:1" ht="15.75" thickBot="1" x14ac:dyDescent="0.3">
      <c r="A938" s="2">
        <v>0</v>
      </c>
    </row>
    <row r="939" spans="1:1" ht="15.75" thickBot="1" x14ac:dyDescent="0.3">
      <c r="A939" t="s">
        <v>472</v>
      </c>
    </row>
    <row r="940" spans="1:1" ht="15.75" thickBot="1" x14ac:dyDescent="0.3">
      <c r="A940" s="3">
        <v>0</v>
      </c>
    </row>
    <row r="941" spans="1:1" ht="15.75" thickBot="1" x14ac:dyDescent="0.3">
      <c r="A941" s="3">
        <v>1</v>
      </c>
    </row>
    <row r="942" spans="1:1" x14ac:dyDescent="0.25">
      <c r="A942" s="4" t="s">
        <v>473</v>
      </c>
    </row>
    <row r="943" spans="1:1" ht="15.75" thickBot="1" x14ac:dyDescent="0.3">
      <c r="A943" s="1" t="s">
        <v>474</v>
      </c>
    </row>
    <row r="944" spans="1:1" ht="15.75" thickBot="1" x14ac:dyDescent="0.3">
      <c r="A944" s="2">
        <v>0</v>
      </c>
    </row>
    <row r="945" spans="1:1" ht="15.75" thickBot="1" x14ac:dyDescent="0.3">
      <c r="A945" t="s">
        <v>475</v>
      </c>
    </row>
    <row r="946" spans="1:1" ht="15.75" thickBot="1" x14ac:dyDescent="0.3">
      <c r="A946" s="3">
        <v>0</v>
      </c>
    </row>
    <row r="947" spans="1:1" ht="15.75" thickBot="1" x14ac:dyDescent="0.3">
      <c r="A947" s="3">
        <v>1</v>
      </c>
    </row>
    <row r="948" spans="1:1" x14ac:dyDescent="0.25">
      <c r="A948" s="4" t="s">
        <v>476</v>
      </c>
    </row>
    <row r="949" spans="1:1" ht="15.75" thickBot="1" x14ac:dyDescent="0.3">
      <c r="A949" s="5" t="s">
        <v>477</v>
      </c>
    </row>
    <row r="950" spans="1:1" ht="15.75" thickBot="1" x14ac:dyDescent="0.3">
      <c r="A950" s="2">
        <v>0</v>
      </c>
    </row>
    <row r="951" spans="1:1" ht="15.75" thickBot="1" x14ac:dyDescent="0.3">
      <c r="A951" t="s">
        <v>478</v>
      </c>
    </row>
    <row r="952" spans="1:1" ht="15.75" thickBot="1" x14ac:dyDescent="0.3">
      <c r="A952" s="3">
        <v>0</v>
      </c>
    </row>
    <row r="953" spans="1:1" ht="15.75" thickBot="1" x14ac:dyDescent="0.3">
      <c r="A953" s="3">
        <v>1</v>
      </c>
    </row>
    <row r="954" spans="1:1" x14ac:dyDescent="0.25">
      <c r="A954" s="4" t="s">
        <v>479</v>
      </c>
    </row>
    <row r="955" spans="1:1" ht="15.75" thickBot="1" x14ac:dyDescent="0.3">
      <c r="A955" s="1" t="s">
        <v>480</v>
      </c>
    </row>
    <row r="956" spans="1:1" ht="15.75" thickBot="1" x14ac:dyDescent="0.3">
      <c r="A956" s="2">
        <v>0</v>
      </c>
    </row>
    <row r="957" spans="1:1" ht="15.75" thickBot="1" x14ac:dyDescent="0.3">
      <c r="A957" t="s">
        <v>481</v>
      </c>
    </row>
    <row r="958" spans="1:1" ht="15.75" thickBot="1" x14ac:dyDescent="0.3">
      <c r="A958" s="3">
        <v>0</v>
      </c>
    </row>
    <row r="959" spans="1:1" ht="15.75" thickBot="1" x14ac:dyDescent="0.3">
      <c r="A959" s="3">
        <v>1</v>
      </c>
    </row>
    <row r="960" spans="1:1" x14ac:dyDescent="0.25">
      <c r="A960" s="4" t="s">
        <v>482</v>
      </c>
    </row>
    <row r="961" spans="1:1" ht="15.75" thickBot="1" x14ac:dyDescent="0.3">
      <c r="A961" s="1" t="s">
        <v>483</v>
      </c>
    </row>
    <row r="962" spans="1:1" ht="15.75" thickBot="1" x14ac:dyDescent="0.3">
      <c r="A962" s="2">
        <v>0</v>
      </c>
    </row>
    <row r="963" spans="1:1" ht="15.75" thickBot="1" x14ac:dyDescent="0.3">
      <c r="A963" t="s">
        <v>484</v>
      </c>
    </row>
    <row r="964" spans="1:1" ht="15.75" thickBot="1" x14ac:dyDescent="0.3">
      <c r="A964" s="3">
        <v>0</v>
      </c>
    </row>
    <row r="965" spans="1:1" ht="15.75" thickBot="1" x14ac:dyDescent="0.3">
      <c r="A965" s="3">
        <v>1</v>
      </c>
    </row>
    <row r="966" spans="1:1" x14ac:dyDescent="0.25">
      <c r="A966" s="4" t="s">
        <v>485</v>
      </c>
    </row>
    <row r="967" spans="1:1" ht="15.75" thickBot="1" x14ac:dyDescent="0.3">
      <c r="A967" t="s">
        <v>486</v>
      </c>
    </row>
    <row r="968" spans="1:1" ht="15.75" thickBot="1" x14ac:dyDescent="0.3">
      <c r="A968" s="2">
        <v>0</v>
      </c>
    </row>
    <row r="969" spans="1:1" ht="15.75" thickBot="1" x14ac:dyDescent="0.3">
      <c r="A969" t="s">
        <v>487</v>
      </c>
    </row>
    <row r="970" spans="1:1" ht="15.75" thickBot="1" x14ac:dyDescent="0.3">
      <c r="A970" s="3">
        <v>0</v>
      </c>
    </row>
    <row r="971" spans="1:1" ht="15.75" thickBot="1" x14ac:dyDescent="0.3">
      <c r="A971" s="3">
        <v>1</v>
      </c>
    </row>
    <row r="972" spans="1:1" x14ac:dyDescent="0.25">
      <c r="A972" s="4" t="s">
        <v>488</v>
      </c>
    </row>
    <row r="973" spans="1:1" ht="15.75" thickBot="1" x14ac:dyDescent="0.3">
      <c r="A973" s="1" t="s">
        <v>489</v>
      </c>
    </row>
    <row r="974" spans="1:1" ht="15.75" thickBot="1" x14ac:dyDescent="0.3">
      <c r="A974" s="2">
        <v>0</v>
      </c>
    </row>
    <row r="975" spans="1:1" ht="15.75" thickBot="1" x14ac:dyDescent="0.3">
      <c r="A975" t="s">
        <v>490</v>
      </c>
    </row>
    <row r="976" spans="1:1" ht="15.75" thickBot="1" x14ac:dyDescent="0.3">
      <c r="A976" s="3">
        <v>0</v>
      </c>
    </row>
    <row r="977" spans="1:1" ht="15.75" thickBot="1" x14ac:dyDescent="0.3">
      <c r="A977" s="3">
        <v>1</v>
      </c>
    </row>
    <row r="978" spans="1:1" x14ac:dyDescent="0.25">
      <c r="A978" s="4" t="s">
        <v>491</v>
      </c>
    </row>
    <row r="979" spans="1:1" ht="15.75" thickBot="1" x14ac:dyDescent="0.3">
      <c r="A979" s="1" t="s">
        <v>492</v>
      </c>
    </row>
    <row r="980" spans="1:1" ht="15.75" thickBot="1" x14ac:dyDescent="0.3">
      <c r="A980" s="2">
        <v>0</v>
      </c>
    </row>
    <row r="981" spans="1:1" ht="15.75" thickBot="1" x14ac:dyDescent="0.3">
      <c r="A981" t="s">
        <v>493</v>
      </c>
    </row>
    <row r="982" spans="1:1" ht="15.75" thickBot="1" x14ac:dyDescent="0.3">
      <c r="A982" s="3">
        <v>0</v>
      </c>
    </row>
    <row r="983" spans="1:1" ht="15.75" thickBot="1" x14ac:dyDescent="0.3">
      <c r="A983" s="3">
        <v>1</v>
      </c>
    </row>
    <row r="984" spans="1:1" x14ac:dyDescent="0.25">
      <c r="A984" s="4" t="s">
        <v>494</v>
      </c>
    </row>
    <row r="985" spans="1:1" ht="15.75" thickBot="1" x14ac:dyDescent="0.3">
      <c r="A985" t="s">
        <v>495</v>
      </c>
    </row>
    <row r="986" spans="1:1" ht="15.75" thickBot="1" x14ac:dyDescent="0.3">
      <c r="A986" s="2">
        <v>0</v>
      </c>
    </row>
    <row r="987" spans="1:1" ht="15.75" thickBot="1" x14ac:dyDescent="0.3">
      <c r="A987" t="s">
        <v>496</v>
      </c>
    </row>
    <row r="988" spans="1:1" ht="15.75" thickBot="1" x14ac:dyDescent="0.3">
      <c r="A988" s="3">
        <v>0</v>
      </c>
    </row>
    <row r="989" spans="1:1" ht="15.75" thickBot="1" x14ac:dyDescent="0.3">
      <c r="A989" s="3">
        <v>1</v>
      </c>
    </row>
    <row r="990" spans="1:1" x14ac:dyDescent="0.25">
      <c r="A990" s="4" t="s">
        <v>497</v>
      </c>
    </row>
    <row r="991" spans="1:1" ht="15.75" thickBot="1" x14ac:dyDescent="0.3">
      <c r="A991" t="s">
        <v>498</v>
      </c>
    </row>
    <row r="992" spans="1:1" ht="15.75" thickBot="1" x14ac:dyDescent="0.3">
      <c r="A992" s="2">
        <v>0</v>
      </c>
    </row>
    <row r="993" spans="1:1" ht="15.75" thickBot="1" x14ac:dyDescent="0.3">
      <c r="A993" t="s">
        <v>499</v>
      </c>
    </row>
    <row r="994" spans="1:1" ht="15.75" thickBot="1" x14ac:dyDescent="0.3">
      <c r="A994" s="3">
        <v>0</v>
      </c>
    </row>
    <row r="995" spans="1:1" ht="15.75" thickBot="1" x14ac:dyDescent="0.3">
      <c r="A995" s="3">
        <v>1</v>
      </c>
    </row>
    <row r="996" spans="1:1" x14ac:dyDescent="0.25">
      <c r="A996" s="4" t="s">
        <v>500</v>
      </c>
    </row>
    <row r="997" spans="1:1" ht="15.75" thickBot="1" x14ac:dyDescent="0.3">
      <c r="A997" s="1" t="s">
        <v>501</v>
      </c>
    </row>
    <row r="998" spans="1:1" ht="15.75" thickBot="1" x14ac:dyDescent="0.3">
      <c r="A998" s="2">
        <v>0</v>
      </c>
    </row>
    <row r="999" spans="1:1" ht="15.75" thickBot="1" x14ac:dyDescent="0.3">
      <c r="A999" t="s">
        <v>502</v>
      </c>
    </row>
    <row r="1000" spans="1:1" ht="15.75" thickBot="1" x14ac:dyDescent="0.3">
      <c r="A1000" s="3">
        <v>0</v>
      </c>
    </row>
    <row r="1001" spans="1:1" ht="15.75" thickBot="1" x14ac:dyDescent="0.3">
      <c r="A1001" s="3">
        <v>1</v>
      </c>
    </row>
    <row r="1002" spans="1:1" x14ac:dyDescent="0.25">
      <c r="A1002" s="4" t="s">
        <v>503</v>
      </c>
    </row>
    <row r="1003" spans="1:1" ht="15.75" thickBot="1" x14ac:dyDescent="0.3">
      <c r="A1003" t="s">
        <v>504</v>
      </c>
    </row>
    <row r="1004" spans="1:1" ht="15.75" thickBot="1" x14ac:dyDescent="0.3">
      <c r="A1004" s="2">
        <v>0</v>
      </c>
    </row>
    <row r="1005" spans="1:1" ht="15.75" thickBot="1" x14ac:dyDescent="0.3">
      <c r="A1005" t="s">
        <v>505</v>
      </c>
    </row>
    <row r="1006" spans="1:1" ht="15.75" thickBot="1" x14ac:dyDescent="0.3">
      <c r="A1006" s="3">
        <v>0</v>
      </c>
    </row>
    <row r="1007" spans="1:1" ht="15.75" thickBot="1" x14ac:dyDescent="0.3">
      <c r="A1007" s="3">
        <v>1</v>
      </c>
    </row>
    <row r="1008" spans="1:1" x14ac:dyDescent="0.25">
      <c r="A1008" s="4" t="s">
        <v>506</v>
      </c>
    </row>
    <row r="1009" spans="1:1" ht="15.75" thickBot="1" x14ac:dyDescent="0.3">
      <c r="A1009" s="5" t="s">
        <v>507</v>
      </c>
    </row>
    <row r="1010" spans="1:1" ht="15.75" thickBot="1" x14ac:dyDescent="0.3">
      <c r="A1010" s="2">
        <v>0</v>
      </c>
    </row>
    <row r="1011" spans="1:1" ht="15.75" thickBot="1" x14ac:dyDescent="0.3">
      <c r="A1011" t="s">
        <v>508</v>
      </c>
    </row>
    <row r="1012" spans="1:1" ht="15.75" thickBot="1" x14ac:dyDescent="0.3">
      <c r="A1012" s="3">
        <v>0</v>
      </c>
    </row>
    <row r="1013" spans="1:1" ht="15.75" thickBot="1" x14ac:dyDescent="0.3">
      <c r="A1013" s="3">
        <v>1</v>
      </c>
    </row>
    <row r="1014" spans="1:1" x14ac:dyDescent="0.25">
      <c r="A1014" s="4" t="s">
        <v>509</v>
      </c>
    </row>
    <row r="1015" spans="1:1" ht="15.75" thickBot="1" x14ac:dyDescent="0.3">
      <c r="A1015" s="5" t="s">
        <v>510</v>
      </c>
    </row>
    <row r="1016" spans="1:1" ht="15.75" thickBot="1" x14ac:dyDescent="0.3">
      <c r="A1016" s="2">
        <v>0</v>
      </c>
    </row>
    <row r="1017" spans="1:1" ht="15.75" thickBot="1" x14ac:dyDescent="0.3">
      <c r="A1017" t="s">
        <v>511</v>
      </c>
    </row>
    <row r="1018" spans="1:1" ht="15.75" thickBot="1" x14ac:dyDescent="0.3">
      <c r="A1018" s="3">
        <v>0</v>
      </c>
    </row>
    <row r="1019" spans="1:1" ht="15.75" thickBot="1" x14ac:dyDescent="0.3">
      <c r="A1019" s="3">
        <v>1</v>
      </c>
    </row>
    <row r="1020" spans="1:1" x14ac:dyDescent="0.25">
      <c r="A1020" s="4" t="s">
        <v>512</v>
      </c>
    </row>
    <row r="1021" spans="1:1" ht="15.75" thickBot="1" x14ac:dyDescent="0.3">
      <c r="A1021" s="5" t="s">
        <v>513</v>
      </c>
    </row>
    <row r="1022" spans="1:1" ht="15.75" thickBot="1" x14ac:dyDescent="0.3">
      <c r="A1022" s="2">
        <v>0</v>
      </c>
    </row>
    <row r="1023" spans="1:1" ht="15.75" thickBot="1" x14ac:dyDescent="0.3">
      <c r="A1023" t="s">
        <v>514</v>
      </c>
    </row>
    <row r="1024" spans="1:1" ht="15.75" thickBot="1" x14ac:dyDescent="0.3">
      <c r="A1024" s="3">
        <v>0</v>
      </c>
    </row>
    <row r="1025" spans="1:1" ht="15.75" thickBot="1" x14ac:dyDescent="0.3">
      <c r="A1025" s="3">
        <v>1</v>
      </c>
    </row>
    <row r="1026" spans="1:1" x14ac:dyDescent="0.25">
      <c r="A1026" s="4" t="s">
        <v>515</v>
      </c>
    </row>
    <row r="1027" spans="1:1" ht="15.75" thickBot="1" x14ac:dyDescent="0.3">
      <c r="A1027" s="5" t="s">
        <v>516</v>
      </c>
    </row>
    <row r="1028" spans="1:1" ht="15.75" thickBot="1" x14ac:dyDescent="0.3">
      <c r="A1028" s="2">
        <v>0</v>
      </c>
    </row>
    <row r="1029" spans="1:1" ht="15.75" thickBot="1" x14ac:dyDescent="0.3">
      <c r="A1029" t="s">
        <v>517</v>
      </c>
    </row>
    <row r="1030" spans="1:1" ht="15.75" thickBot="1" x14ac:dyDescent="0.3">
      <c r="A1030" s="3">
        <v>0</v>
      </c>
    </row>
    <row r="1031" spans="1:1" ht="15.75" thickBot="1" x14ac:dyDescent="0.3">
      <c r="A1031" s="3">
        <v>1</v>
      </c>
    </row>
    <row r="1032" spans="1:1" x14ac:dyDescent="0.25">
      <c r="A1032" s="4" t="s">
        <v>518</v>
      </c>
    </row>
    <row r="1033" spans="1:1" ht="15.75" thickBot="1" x14ac:dyDescent="0.3">
      <c r="A1033" s="1" t="s">
        <v>519</v>
      </c>
    </row>
    <row r="1034" spans="1:1" ht="15.75" thickBot="1" x14ac:dyDescent="0.3">
      <c r="A1034" s="2">
        <v>0</v>
      </c>
    </row>
    <row r="1035" spans="1:1" ht="15.75" thickBot="1" x14ac:dyDescent="0.3">
      <c r="A1035" t="s">
        <v>520</v>
      </c>
    </row>
    <row r="1036" spans="1:1" ht="15.75" thickBot="1" x14ac:dyDescent="0.3">
      <c r="A1036" s="3">
        <v>0</v>
      </c>
    </row>
    <row r="1037" spans="1:1" ht="15.75" thickBot="1" x14ac:dyDescent="0.3">
      <c r="A1037" s="3">
        <v>1</v>
      </c>
    </row>
    <row r="1038" spans="1:1" x14ac:dyDescent="0.25">
      <c r="A1038" s="4" t="s">
        <v>521</v>
      </c>
    </row>
    <row r="1039" spans="1:1" ht="15.75" thickBot="1" x14ac:dyDescent="0.3">
      <c r="A1039" t="s">
        <v>522</v>
      </c>
    </row>
    <row r="1040" spans="1:1" ht="15.75" thickBot="1" x14ac:dyDescent="0.3">
      <c r="A1040" s="2">
        <v>0</v>
      </c>
    </row>
    <row r="1041" spans="1:1" ht="15.75" thickBot="1" x14ac:dyDescent="0.3">
      <c r="A1041" t="s">
        <v>523</v>
      </c>
    </row>
    <row r="1042" spans="1:1" ht="15.75" thickBot="1" x14ac:dyDescent="0.3">
      <c r="A1042" s="3">
        <v>0</v>
      </c>
    </row>
    <row r="1043" spans="1:1" ht="15.75" thickBot="1" x14ac:dyDescent="0.3">
      <c r="A1043" s="3">
        <v>1</v>
      </c>
    </row>
    <row r="1044" spans="1:1" x14ac:dyDescent="0.25">
      <c r="A1044" s="4" t="s">
        <v>524</v>
      </c>
    </row>
    <row r="1045" spans="1:1" ht="15.75" thickBot="1" x14ac:dyDescent="0.3">
      <c r="A1045" s="5" t="s">
        <v>525</v>
      </c>
    </row>
    <row r="1046" spans="1:1" ht="15.75" thickBot="1" x14ac:dyDescent="0.3">
      <c r="A1046" s="2">
        <v>0</v>
      </c>
    </row>
    <row r="1047" spans="1:1" ht="15.75" thickBot="1" x14ac:dyDescent="0.3">
      <c r="A1047" t="s">
        <v>526</v>
      </c>
    </row>
    <row r="1048" spans="1:1" ht="15.75" thickBot="1" x14ac:dyDescent="0.3">
      <c r="A1048" s="3">
        <v>0</v>
      </c>
    </row>
    <row r="1049" spans="1:1" ht="15.75" thickBot="1" x14ac:dyDescent="0.3">
      <c r="A1049" s="3">
        <v>1</v>
      </c>
    </row>
    <row r="1050" spans="1:1" x14ac:dyDescent="0.25">
      <c r="A1050" s="4" t="s">
        <v>527</v>
      </c>
    </row>
    <row r="1051" spans="1:1" ht="15.75" thickBot="1" x14ac:dyDescent="0.3">
      <c r="A1051" t="s">
        <v>528</v>
      </c>
    </row>
    <row r="1052" spans="1:1" ht="15.75" thickBot="1" x14ac:dyDescent="0.3">
      <c r="A1052" s="2">
        <v>0</v>
      </c>
    </row>
    <row r="1053" spans="1:1" ht="15.75" thickBot="1" x14ac:dyDescent="0.3">
      <c r="A1053" t="s">
        <v>529</v>
      </c>
    </row>
    <row r="1054" spans="1:1" ht="15.75" thickBot="1" x14ac:dyDescent="0.3">
      <c r="A1054" s="3">
        <v>0</v>
      </c>
    </row>
    <row r="1055" spans="1:1" ht="15.75" thickBot="1" x14ac:dyDescent="0.3">
      <c r="A1055" s="3">
        <v>1</v>
      </c>
    </row>
    <row r="1056" spans="1:1" x14ac:dyDescent="0.25">
      <c r="A1056" s="4" t="s">
        <v>530</v>
      </c>
    </row>
    <row r="1057" spans="1:1" ht="15.75" thickBot="1" x14ac:dyDescent="0.3">
      <c r="A1057" s="1" t="s">
        <v>531</v>
      </c>
    </row>
    <row r="1058" spans="1:1" ht="15.75" thickBot="1" x14ac:dyDescent="0.3">
      <c r="A1058" s="2">
        <v>0</v>
      </c>
    </row>
    <row r="1059" spans="1:1" ht="15.75" thickBot="1" x14ac:dyDescent="0.3">
      <c r="A1059" t="s">
        <v>532</v>
      </c>
    </row>
    <row r="1060" spans="1:1" ht="15.75" thickBot="1" x14ac:dyDescent="0.3">
      <c r="A1060" s="3">
        <v>0</v>
      </c>
    </row>
    <row r="1061" spans="1:1" ht="15.75" thickBot="1" x14ac:dyDescent="0.3">
      <c r="A1061" s="3">
        <v>1</v>
      </c>
    </row>
    <row r="1062" spans="1:1" x14ac:dyDescent="0.25">
      <c r="A1062" s="4" t="s">
        <v>533</v>
      </c>
    </row>
    <row r="1063" spans="1:1" ht="15.75" thickBot="1" x14ac:dyDescent="0.3">
      <c r="A1063" s="5" t="s">
        <v>534</v>
      </c>
    </row>
    <row r="1064" spans="1:1" ht="15.75" thickBot="1" x14ac:dyDescent="0.3">
      <c r="A1064" s="2">
        <v>0</v>
      </c>
    </row>
    <row r="1065" spans="1:1" ht="15.75" thickBot="1" x14ac:dyDescent="0.3">
      <c r="A1065" t="s">
        <v>535</v>
      </c>
    </row>
    <row r="1066" spans="1:1" ht="15.75" thickBot="1" x14ac:dyDescent="0.3">
      <c r="A1066" s="3">
        <v>0</v>
      </c>
    </row>
    <row r="1067" spans="1:1" ht="15.75" thickBot="1" x14ac:dyDescent="0.3">
      <c r="A1067" s="3">
        <v>1</v>
      </c>
    </row>
    <row r="1068" spans="1:1" x14ac:dyDescent="0.25">
      <c r="A1068" s="4" t="s">
        <v>536</v>
      </c>
    </row>
    <row r="1069" spans="1:1" ht="15.75" thickBot="1" x14ac:dyDescent="0.3">
      <c r="A1069" s="1" t="s">
        <v>537</v>
      </c>
    </row>
    <row r="1070" spans="1:1" ht="15.75" thickBot="1" x14ac:dyDescent="0.3">
      <c r="A1070" s="2">
        <v>0</v>
      </c>
    </row>
    <row r="1071" spans="1:1" ht="15.75" thickBot="1" x14ac:dyDescent="0.3">
      <c r="A1071" t="s">
        <v>538</v>
      </c>
    </row>
    <row r="1072" spans="1:1" ht="15.75" thickBot="1" x14ac:dyDescent="0.3">
      <c r="A1072" s="3">
        <v>0</v>
      </c>
    </row>
    <row r="1073" spans="1:1" ht="15.75" thickBot="1" x14ac:dyDescent="0.3">
      <c r="A1073" s="3">
        <v>1</v>
      </c>
    </row>
    <row r="1074" spans="1:1" x14ac:dyDescent="0.25">
      <c r="A1074" s="4" t="s">
        <v>539</v>
      </c>
    </row>
    <row r="1075" spans="1:1" ht="15.75" thickBot="1" x14ac:dyDescent="0.3">
      <c r="A1075" s="5" t="s">
        <v>540</v>
      </c>
    </row>
    <row r="1076" spans="1:1" ht="15.75" thickBot="1" x14ac:dyDescent="0.3">
      <c r="A1076" s="2">
        <v>0</v>
      </c>
    </row>
    <row r="1077" spans="1:1" ht="15.75" thickBot="1" x14ac:dyDescent="0.3">
      <c r="A1077" t="s">
        <v>541</v>
      </c>
    </row>
    <row r="1078" spans="1:1" ht="15.75" thickBot="1" x14ac:dyDescent="0.3">
      <c r="A1078" s="3">
        <v>0</v>
      </c>
    </row>
    <row r="1079" spans="1:1" ht="15.75" thickBot="1" x14ac:dyDescent="0.3">
      <c r="A1079" s="3">
        <v>1</v>
      </c>
    </row>
    <row r="1080" spans="1:1" x14ac:dyDescent="0.25">
      <c r="A1080" s="4" t="s">
        <v>542</v>
      </c>
    </row>
    <row r="1081" spans="1:1" ht="15.75" thickBot="1" x14ac:dyDescent="0.3">
      <c r="A1081" t="s">
        <v>543</v>
      </c>
    </row>
    <row r="1082" spans="1:1" ht="15.75" thickBot="1" x14ac:dyDescent="0.3">
      <c r="A1082" s="2">
        <v>0</v>
      </c>
    </row>
    <row r="1083" spans="1:1" ht="15.75" thickBot="1" x14ac:dyDescent="0.3">
      <c r="A1083" t="s">
        <v>544</v>
      </c>
    </row>
    <row r="1084" spans="1:1" ht="15.75" thickBot="1" x14ac:dyDescent="0.3">
      <c r="A1084" s="3">
        <v>0</v>
      </c>
    </row>
    <row r="1085" spans="1:1" ht="15.75" thickBot="1" x14ac:dyDescent="0.3">
      <c r="A1085" s="3">
        <v>1</v>
      </c>
    </row>
    <row r="1086" spans="1:1" x14ac:dyDescent="0.25">
      <c r="A1086" s="4" t="s">
        <v>545</v>
      </c>
    </row>
    <row r="1087" spans="1:1" ht="15.75" thickBot="1" x14ac:dyDescent="0.3">
      <c r="A1087" s="1" t="s">
        <v>546</v>
      </c>
    </row>
    <row r="1088" spans="1:1" ht="15.75" thickBot="1" x14ac:dyDescent="0.3">
      <c r="A1088" s="2">
        <v>0</v>
      </c>
    </row>
    <row r="1089" spans="1:1" ht="15.75" thickBot="1" x14ac:dyDescent="0.3">
      <c r="A1089" t="s">
        <v>547</v>
      </c>
    </row>
    <row r="1090" spans="1:1" ht="15.75" thickBot="1" x14ac:dyDescent="0.3">
      <c r="A1090" s="3">
        <v>0</v>
      </c>
    </row>
    <row r="1091" spans="1:1" ht="15.75" thickBot="1" x14ac:dyDescent="0.3">
      <c r="A1091" s="3">
        <v>1</v>
      </c>
    </row>
    <row r="1092" spans="1:1" x14ac:dyDescent="0.25">
      <c r="A1092" s="4" t="s">
        <v>548</v>
      </c>
    </row>
    <row r="1093" spans="1:1" ht="15.75" thickBot="1" x14ac:dyDescent="0.3">
      <c r="A1093" t="s">
        <v>549</v>
      </c>
    </row>
    <row r="1094" spans="1:1" ht="15.75" thickBot="1" x14ac:dyDescent="0.3">
      <c r="A1094" s="2">
        <v>0</v>
      </c>
    </row>
    <row r="1095" spans="1:1" ht="15.75" thickBot="1" x14ac:dyDescent="0.3">
      <c r="A1095" t="s">
        <v>550</v>
      </c>
    </row>
    <row r="1096" spans="1:1" ht="15.75" thickBot="1" x14ac:dyDescent="0.3">
      <c r="A1096" s="3">
        <v>0</v>
      </c>
    </row>
    <row r="1097" spans="1:1" ht="15.75" thickBot="1" x14ac:dyDescent="0.3">
      <c r="A1097" s="3">
        <v>1</v>
      </c>
    </row>
    <row r="1098" spans="1:1" x14ac:dyDescent="0.25">
      <c r="A1098" s="4" t="s">
        <v>551</v>
      </c>
    </row>
    <row r="1099" spans="1:1" ht="15.75" thickBot="1" x14ac:dyDescent="0.3">
      <c r="A1099" t="s">
        <v>552</v>
      </c>
    </row>
    <row r="1100" spans="1:1" ht="15.75" thickBot="1" x14ac:dyDescent="0.3">
      <c r="A1100" s="2">
        <v>0</v>
      </c>
    </row>
    <row r="1101" spans="1:1" ht="15.75" thickBot="1" x14ac:dyDescent="0.3">
      <c r="A1101" t="s">
        <v>553</v>
      </c>
    </row>
    <row r="1102" spans="1:1" ht="15.75" thickBot="1" x14ac:dyDescent="0.3">
      <c r="A1102" s="3">
        <v>0</v>
      </c>
    </row>
    <row r="1103" spans="1:1" ht="15.75" thickBot="1" x14ac:dyDescent="0.3">
      <c r="A1103" s="3">
        <v>1</v>
      </c>
    </row>
    <row r="1104" spans="1:1" x14ac:dyDescent="0.25">
      <c r="A1104" s="4" t="s">
        <v>554</v>
      </c>
    </row>
    <row r="1105" spans="1:1" ht="15.75" thickBot="1" x14ac:dyDescent="0.3">
      <c r="A1105" t="s">
        <v>555</v>
      </c>
    </row>
    <row r="1106" spans="1:1" ht="15.75" thickBot="1" x14ac:dyDescent="0.3">
      <c r="A1106" s="2">
        <v>0</v>
      </c>
    </row>
    <row r="1107" spans="1:1" ht="15.75" thickBot="1" x14ac:dyDescent="0.3">
      <c r="A1107" t="s">
        <v>556</v>
      </c>
    </row>
    <row r="1108" spans="1:1" ht="15.75" thickBot="1" x14ac:dyDescent="0.3">
      <c r="A1108" s="3">
        <v>0</v>
      </c>
    </row>
    <row r="1109" spans="1:1" ht="15.75" thickBot="1" x14ac:dyDescent="0.3">
      <c r="A1109" s="3">
        <v>1</v>
      </c>
    </row>
    <row r="1110" spans="1:1" x14ac:dyDescent="0.25">
      <c r="A1110" s="4" t="s">
        <v>557</v>
      </c>
    </row>
    <row r="1111" spans="1:1" ht="15.75" thickBot="1" x14ac:dyDescent="0.3">
      <c r="A1111" s="5" t="s">
        <v>558</v>
      </c>
    </row>
    <row r="1112" spans="1:1" ht="15.75" thickBot="1" x14ac:dyDescent="0.3">
      <c r="A1112" s="2">
        <v>0</v>
      </c>
    </row>
    <row r="1113" spans="1:1" ht="15.75" thickBot="1" x14ac:dyDescent="0.3">
      <c r="A1113" t="s">
        <v>559</v>
      </c>
    </row>
    <row r="1114" spans="1:1" ht="15.75" thickBot="1" x14ac:dyDescent="0.3">
      <c r="A1114" s="3">
        <v>0</v>
      </c>
    </row>
    <row r="1115" spans="1:1" ht="15.75" thickBot="1" x14ac:dyDescent="0.3">
      <c r="A1115" s="3">
        <v>1</v>
      </c>
    </row>
    <row r="1116" spans="1:1" x14ac:dyDescent="0.25">
      <c r="A1116" s="4" t="s">
        <v>560</v>
      </c>
    </row>
    <row r="1117" spans="1:1" ht="15.75" thickBot="1" x14ac:dyDescent="0.3">
      <c r="A1117" s="5" t="s">
        <v>561</v>
      </c>
    </row>
    <row r="1118" spans="1:1" ht="15.75" thickBot="1" x14ac:dyDescent="0.3">
      <c r="A1118" s="2">
        <v>0</v>
      </c>
    </row>
    <row r="1119" spans="1:1" ht="15.75" thickBot="1" x14ac:dyDescent="0.3">
      <c r="A1119" t="s">
        <v>562</v>
      </c>
    </row>
    <row r="1120" spans="1:1" ht="15.75" thickBot="1" x14ac:dyDescent="0.3">
      <c r="A1120" s="3">
        <v>0</v>
      </c>
    </row>
    <row r="1121" spans="1:1" ht="15.75" thickBot="1" x14ac:dyDescent="0.3">
      <c r="A1121" s="3">
        <v>1</v>
      </c>
    </row>
    <row r="1122" spans="1:1" x14ac:dyDescent="0.25">
      <c r="A1122" s="4" t="s">
        <v>563</v>
      </c>
    </row>
    <row r="1123" spans="1:1" ht="15.75" thickBot="1" x14ac:dyDescent="0.3">
      <c r="A1123" s="5" t="s">
        <v>564</v>
      </c>
    </row>
    <row r="1124" spans="1:1" ht="15.75" thickBot="1" x14ac:dyDescent="0.3">
      <c r="A1124" s="2">
        <v>0</v>
      </c>
    </row>
    <row r="1125" spans="1:1" ht="15.75" thickBot="1" x14ac:dyDescent="0.3">
      <c r="A1125" t="s">
        <v>565</v>
      </c>
    </row>
    <row r="1126" spans="1:1" ht="15.75" thickBot="1" x14ac:dyDescent="0.3">
      <c r="A1126" s="3">
        <v>0</v>
      </c>
    </row>
    <row r="1127" spans="1:1" ht="15.75" thickBot="1" x14ac:dyDescent="0.3">
      <c r="A1127" s="3">
        <v>1</v>
      </c>
    </row>
    <row r="1128" spans="1:1" x14ac:dyDescent="0.25">
      <c r="A1128" s="4" t="s">
        <v>566</v>
      </c>
    </row>
    <row r="1129" spans="1:1" ht="15.75" thickBot="1" x14ac:dyDescent="0.3">
      <c r="A1129" t="s">
        <v>567</v>
      </c>
    </row>
    <row r="1130" spans="1:1" ht="15.75" thickBot="1" x14ac:dyDescent="0.3">
      <c r="A1130" s="2">
        <v>0</v>
      </c>
    </row>
    <row r="1131" spans="1:1" ht="15.75" thickBot="1" x14ac:dyDescent="0.3">
      <c r="A1131" t="s">
        <v>568</v>
      </c>
    </row>
    <row r="1132" spans="1:1" ht="15.75" thickBot="1" x14ac:dyDescent="0.3">
      <c r="A1132" s="3">
        <v>0</v>
      </c>
    </row>
    <row r="1133" spans="1:1" ht="15.75" thickBot="1" x14ac:dyDescent="0.3">
      <c r="A1133" s="3">
        <v>1</v>
      </c>
    </row>
    <row r="1134" spans="1:1" x14ac:dyDescent="0.25">
      <c r="A1134" s="4" t="s">
        <v>569</v>
      </c>
    </row>
    <row r="1135" spans="1:1" ht="15.75" thickBot="1" x14ac:dyDescent="0.3">
      <c r="A1135" s="5" t="s">
        <v>570</v>
      </c>
    </row>
    <row r="1136" spans="1:1" ht="15.75" thickBot="1" x14ac:dyDescent="0.3">
      <c r="A1136" s="2">
        <v>0</v>
      </c>
    </row>
    <row r="1137" spans="1:1" ht="15.75" thickBot="1" x14ac:dyDescent="0.3">
      <c r="A1137" t="s">
        <v>571</v>
      </c>
    </row>
    <row r="1138" spans="1:1" ht="15.75" thickBot="1" x14ac:dyDescent="0.3">
      <c r="A1138" s="3">
        <v>0</v>
      </c>
    </row>
    <row r="1139" spans="1:1" ht="15.75" thickBot="1" x14ac:dyDescent="0.3">
      <c r="A1139" s="3">
        <v>1</v>
      </c>
    </row>
    <row r="1140" spans="1:1" x14ac:dyDescent="0.25">
      <c r="A1140" s="4" t="s">
        <v>572</v>
      </c>
    </row>
    <row r="1141" spans="1:1" ht="15.75" thickBot="1" x14ac:dyDescent="0.3">
      <c r="A1141" s="5" t="s">
        <v>573</v>
      </c>
    </row>
    <row r="1142" spans="1:1" ht="15.75" thickBot="1" x14ac:dyDescent="0.3">
      <c r="A1142" s="2">
        <v>0</v>
      </c>
    </row>
    <row r="1143" spans="1:1" ht="15.75" thickBot="1" x14ac:dyDescent="0.3">
      <c r="A1143" t="s">
        <v>574</v>
      </c>
    </row>
    <row r="1144" spans="1:1" ht="15.75" thickBot="1" x14ac:dyDescent="0.3">
      <c r="A1144" s="3">
        <v>0</v>
      </c>
    </row>
    <row r="1145" spans="1:1" ht="15.75" thickBot="1" x14ac:dyDescent="0.3">
      <c r="A1145" s="3">
        <v>1</v>
      </c>
    </row>
    <row r="1146" spans="1:1" x14ac:dyDescent="0.25">
      <c r="A1146" s="4" t="s">
        <v>575</v>
      </c>
    </row>
    <row r="1147" spans="1:1" ht="15.75" thickBot="1" x14ac:dyDescent="0.3">
      <c r="A1147" s="1" t="s">
        <v>576</v>
      </c>
    </row>
    <row r="1148" spans="1:1" ht="15.75" thickBot="1" x14ac:dyDescent="0.3">
      <c r="A1148" s="2">
        <v>0</v>
      </c>
    </row>
    <row r="1149" spans="1:1" ht="15.75" thickBot="1" x14ac:dyDescent="0.3">
      <c r="A1149" t="s">
        <v>577</v>
      </c>
    </row>
    <row r="1150" spans="1:1" ht="15.75" thickBot="1" x14ac:dyDescent="0.3">
      <c r="A1150" s="3">
        <v>0</v>
      </c>
    </row>
    <row r="1151" spans="1:1" ht="15.75" thickBot="1" x14ac:dyDescent="0.3">
      <c r="A1151" s="3">
        <v>1</v>
      </c>
    </row>
    <row r="1152" spans="1:1" x14ac:dyDescent="0.25">
      <c r="A1152" s="4" t="s">
        <v>578</v>
      </c>
    </row>
    <row r="1153" spans="1:1" ht="15.75" thickBot="1" x14ac:dyDescent="0.3">
      <c r="A1153" t="s">
        <v>579</v>
      </c>
    </row>
    <row r="1154" spans="1:1" ht="15.75" thickBot="1" x14ac:dyDescent="0.3">
      <c r="A1154" s="2">
        <v>0</v>
      </c>
    </row>
    <row r="1155" spans="1:1" ht="15.75" thickBot="1" x14ac:dyDescent="0.3">
      <c r="A1155" t="s">
        <v>580</v>
      </c>
    </row>
    <row r="1156" spans="1:1" ht="15.75" thickBot="1" x14ac:dyDescent="0.3">
      <c r="A1156" s="3">
        <v>0</v>
      </c>
    </row>
    <row r="1157" spans="1:1" ht="15.75" thickBot="1" x14ac:dyDescent="0.3">
      <c r="A1157" s="3">
        <v>1</v>
      </c>
    </row>
    <row r="1158" spans="1:1" x14ac:dyDescent="0.25">
      <c r="A1158" s="4" t="s">
        <v>581</v>
      </c>
    </row>
    <row r="1159" spans="1:1" ht="15.75" thickBot="1" x14ac:dyDescent="0.3">
      <c r="A1159" s="1" t="s">
        <v>582</v>
      </c>
    </row>
    <row r="1160" spans="1:1" ht="15.75" thickBot="1" x14ac:dyDescent="0.3">
      <c r="A1160" s="2">
        <v>0</v>
      </c>
    </row>
    <row r="1161" spans="1:1" ht="15.75" thickBot="1" x14ac:dyDescent="0.3">
      <c r="A1161" t="s">
        <v>583</v>
      </c>
    </row>
    <row r="1162" spans="1:1" ht="15.75" thickBot="1" x14ac:dyDescent="0.3">
      <c r="A1162" s="3">
        <v>0</v>
      </c>
    </row>
    <row r="1163" spans="1:1" ht="15.75" thickBot="1" x14ac:dyDescent="0.3">
      <c r="A1163" s="3">
        <v>1</v>
      </c>
    </row>
    <row r="1164" spans="1:1" x14ac:dyDescent="0.25">
      <c r="A1164" s="4" t="s">
        <v>584</v>
      </c>
    </row>
    <row r="1165" spans="1:1" ht="15.75" thickBot="1" x14ac:dyDescent="0.3">
      <c r="A1165" s="5" t="s">
        <v>585</v>
      </c>
    </row>
    <row r="1166" spans="1:1" ht="15.75" thickBot="1" x14ac:dyDescent="0.3">
      <c r="A1166" s="2">
        <v>0</v>
      </c>
    </row>
    <row r="1167" spans="1:1" ht="15.75" thickBot="1" x14ac:dyDescent="0.3">
      <c r="A1167" t="s">
        <v>586</v>
      </c>
    </row>
    <row r="1168" spans="1:1" ht="15.75" thickBot="1" x14ac:dyDescent="0.3">
      <c r="A1168" s="3">
        <v>0</v>
      </c>
    </row>
    <row r="1169" spans="1:1" ht="15.75" thickBot="1" x14ac:dyDescent="0.3">
      <c r="A1169" s="3">
        <v>1</v>
      </c>
    </row>
    <row r="1170" spans="1:1" x14ac:dyDescent="0.25">
      <c r="A1170" s="4" t="s">
        <v>587</v>
      </c>
    </row>
    <row r="1171" spans="1:1" ht="15.75" thickBot="1" x14ac:dyDescent="0.3">
      <c r="A1171" t="s">
        <v>588</v>
      </c>
    </row>
    <row r="1172" spans="1:1" ht="15.75" thickBot="1" x14ac:dyDescent="0.3">
      <c r="A1172" s="2">
        <v>0</v>
      </c>
    </row>
    <row r="1173" spans="1:1" ht="15.75" thickBot="1" x14ac:dyDescent="0.3">
      <c r="A1173" t="s">
        <v>589</v>
      </c>
    </row>
    <row r="1174" spans="1:1" ht="15.75" thickBot="1" x14ac:dyDescent="0.3">
      <c r="A1174" s="3">
        <v>0</v>
      </c>
    </row>
    <row r="1175" spans="1:1" ht="15.75" thickBot="1" x14ac:dyDescent="0.3">
      <c r="A1175" s="3">
        <v>1</v>
      </c>
    </row>
    <row r="1176" spans="1:1" x14ac:dyDescent="0.25">
      <c r="A1176" s="4" t="s">
        <v>590</v>
      </c>
    </row>
    <row r="1177" spans="1:1" ht="15.75" thickBot="1" x14ac:dyDescent="0.3">
      <c r="A1177" t="s">
        <v>591</v>
      </c>
    </row>
    <row r="1178" spans="1:1" ht="15.75" thickBot="1" x14ac:dyDescent="0.3">
      <c r="A1178" s="2">
        <v>0</v>
      </c>
    </row>
    <row r="1179" spans="1:1" ht="15.75" thickBot="1" x14ac:dyDescent="0.3">
      <c r="A1179" t="s">
        <v>592</v>
      </c>
    </row>
    <row r="1180" spans="1:1" ht="15.75" thickBot="1" x14ac:dyDescent="0.3">
      <c r="A1180" s="3">
        <v>0</v>
      </c>
    </row>
    <row r="1181" spans="1:1" ht="15.75" thickBot="1" x14ac:dyDescent="0.3">
      <c r="A1181" s="3">
        <v>1</v>
      </c>
    </row>
    <row r="1182" spans="1:1" x14ac:dyDescent="0.25">
      <c r="A1182" s="4" t="s">
        <v>593</v>
      </c>
    </row>
    <row r="1183" spans="1:1" ht="15.75" thickBot="1" x14ac:dyDescent="0.3">
      <c r="A1183" s="1" t="s">
        <v>594</v>
      </c>
    </row>
    <row r="1184" spans="1:1" ht="15.75" thickBot="1" x14ac:dyDescent="0.3">
      <c r="A1184" s="2">
        <v>0</v>
      </c>
    </row>
    <row r="1185" spans="1:1" ht="15.75" thickBot="1" x14ac:dyDescent="0.3">
      <c r="A1185" t="s">
        <v>595</v>
      </c>
    </row>
    <row r="1186" spans="1:1" ht="15.75" thickBot="1" x14ac:dyDescent="0.3">
      <c r="A1186" s="3">
        <v>0</v>
      </c>
    </row>
    <row r="1187" spans="1:1" ht="15.75" thickBot="1" x14ac:dyDescent="0.3">
      <c r="A1187" s="3">
        <v>1</v>
      </c>
    </row>
    <row r="1188" spans="1:1" x14ac:dyDescent="0.25">
      <c r="A1188" s="4" t="s">
        <v>596</v>
      </c>
    </row>
    <row r="1189" spans="1:1" ht="15.75" thickBot="1" x14ac:dyDescent="0.3">
      <c r="A1189" s="1" t="s">
        <v>597</v>
      </c>
    </row>
    <row r="1190" spans="1:1" ht="15.75" thickBot="1" x14ac:dyDescent="0.3">
      <c r="A1190" s="2">
        <v>0</v>
      </c>
    </row>
    <row r="1191" spans="1:1" ht="15.75" thickBot="1" x14ac:dyDescent="0.3">
      <c r="A1191" t="s">
        <v>598</v>
      </c>
    </row>
    <row r="1192" spans="1:1" ht="15.75" thickBot="1" x14ac:dyDescent="0.3">
      <c r="A1192" s="3">
        <v>0</v>
      </c>
    </row>
    <row r="1193" spans="1:1" ht="15.75" thickBot="1" x14ac:dyDescent="0.3">
      <c r="A1193" s="3">
        <v>1</v>
      </c>
    </row>
    <row r="1194" spans="1:1" x14ac:dyDescent="0.25">
      <c r="A1194" s="4" t="s">
        <v>599</v>
      </c>
    </row>
    <row r="1195" spans="1:1" ht="15.75" thickBot="1" x14ac:dyDescent="0.3">
      <c r="A1195" s="1" t="s">
        <v>600</v>
      </c>
    </row>
    <row r="1196" spans="1:1" ht="15.75" thickBot="1" x14ac:dyDescent="0.3">
      <c r="A1196" s="2">
        <v>0</v>
      </c>
    </row>
    <row r="1197" spans="1:1" ht="15.75" thickBot="1" x14ac:dyDescent="0.3">
      <c r="A1197" t="s">
        <v>601</v>
      </c>
    </row>
    <row r="1198" spans="1:1" ht="15.75" thickBot="1" x14ac:dyDescent="0.3">
      <c r="A1198" s="3">
        <v>0</v>
      </c>
    </row>
    <row r="1199" spans="1:1" ht="15.75" thickBot="1" x14ac:dyDescent="0.3">
      <c r="A1199" s="3">
        <v>1</v>
      </c>
    </row>
    <row r="1200" spans="1:1" x14ac:dyDescent="0.25">
      <c r="A1200" s="4" t="s">
        <v>602</v>
      </c>
    </row>
    <row r="1201" spans="1:1" ht="15.75" thickBot="1" x14ac:dyDescent="0.3">
      <c r="A1201" t="s">
        <v>603</v>
      </c>
    </row>
    <row r="1202" spans="1:1" ht="15.75" thickBot="1" x14ac:dyDescent="0.3">
      <c r="A1202" s="2">
        <v>0</v>
      </c>
    </row>
    <row r="1203" spans="1:1" ht="15.75" thickBot="1" x14ac:dyDescent="0.3">
      <c r="A1203" t="s">
        <v>604</v>
      </c>
    </row>
    <row r="1204" spans="1:1" ht="15.75" thickBot="1" x14ac:dyDescent="0.3">
      <c r="A1204" s="3">
        <v>0</v>
      </c>
    </row>
    <row r="1205" spans="1:1" ht="15.75" thickBot="1" x14ac:dyDescent="0.3">
      <c r="A1205" s="3">
        <v>1</v>
      </c>
    </row>
    <row r="1206" spans="1:1" x14ac:dyDescent="0.25">
      <c r="A1206" s="4" t="s">
        <v>605</v>
      </c>
    </row>
    <row r="1207" spans="1:1" ht="15.75" thickBot="1" x14ac:dyDescent="0.3">
      <c r="A1207" s="1" t="s">
        <v>606</v>
      </c>
    </row>
    <row r="1208" spans="1:1" ht="15.75" thickBot="1" x14ac:dyDescent="0.3">
      <c r="A1208" s="2">
        <v>0</v>
      </c>
    </row>
    <row r="1209" spans="1:1" ht="15.75" thickBot="1" x14ac:dyDescent="0.3">
      <c r="A1209" t="s">
        <v>607</v>
      </c>
    </row>
    <row r="1210" spans="1:1" ht="15.75" thickBot="1" x14ac:dyDescent="0.3">
      <c r="A1210" s="3">
        <v>0</v>
      </c>
    </row>
    <row r="1211" spans="1:1" ht="15.75" thickBot="1" x14ac:dyDescent="0.3">
      <c r="A1211" s="3">
        <v>1</v>
      </c>
    </row>
    <row r="1212" spans="1:1" x14ac:dyDescent="0.25">
      <c r="A1212" s="4" t="s">
        <v>608</v>
      </c>
    </row>
    <row r="1213" spans="1:1" ht="15.75" thickBot="1" x14ac:dyDescent="0.3">
      <c r="A1213" s="1" t="s">
        <v>609</v>
      </c>
    </row>
    <row r="1214" spans="1:1" ht="15.75" thickBot="1" x14ac:dyDescent="0.3">
      <c r="A1214" s="2">
        <v>0</v>
      </c>
    </row>
    <row r="1215" spans="1:1" ht="15.75" thickBot="1" x14ac:dyDescent="0.3">
      <c r="A1215" t="s">
        <v>610</v>
      </c>
    </row>
    <row r="1216" spans="1:1" ht="15.75" thickBot="1" x14ac:dyDescent="0.3">
      <c r="A1216" s="3">
        <v>0</v>
      </c>
    </row>
    <row r="1217" spans="1:1" ht="15.75" thickBot="1" x14ac:dyDescent="0.3">
      <c r="A1217" s="3">
        <v>1</v>
      </c>
    </row>
    <row r="1218" spans="1:1" x14ac:dyDescent="0.25">
      <c r="A1218" s="4" t="s">
        <v>611</v>
      </c>
    </row>
    <row r="1219" spans="1:1" ht="15.75" thickBot="1" x14ac:dyDescent="0.3">
      <c r="A1219" s="5" t="s">
        <v>612</v>
      </c>
    </row>
    <row r="1220" spans="1:1" ht="15.75" thickBot="1" x14ac:dyDescent="0.3">
      <c r="A1220" s="2">
        <v>0</v>
      </c>
    </row>
    <row r="1221" spans="1:1" ht="15.75" thickBot="1" x14ac:dyDescent="0.3">
      <c r="A1221" t="s">
        <v>613</v>
      </c>
    </row>
    <row r="1222" spans="1:1" ht="15.75" thickBot="1" x14ac:dyDescent="0.3">
      <c r="A1222" s="3">
        <v>0</v>
      </c>
    </row>
    <row r="1223" spans="1:1" ht="15.75" thickBot="1" x14ac:dyDescent="0.3">
      <c r="A1223" s="3">
        <v>1</v>
      </c>
    </row>
    <row r="1224" spans="1:1" x14ac:dyDescent="0.25">
      <c r="A1224" s="4" t="s">
        <v>614</v>
      </c>
    </row>
    <row r="1225" spans="1:1" ht="15.75" thickBot="1" x14ac:dyDescent="0.3">
      <c r="A1225" s="1" t="s">
        <v>615</v>
      </c>
    </row>
    <row r="1226" spans="1:1" ht="15.75" thickBot="1" x14ac:dyDescent="0.3">
      <c r="A1226" s="2">
        <v>0</v>
      </c>
    </row>
    <row r="1227" spans="1:1" ht="15.75" thickBot="1" x14ac:dyDescent="0.3">
      <c r="A1227" t="s">
        <v>616</v>
      </c>
    </row>
    <row r="1228" spans="1:1" ht="15.75" thickBot="1" x14ac:dyDescent="0.3">
      <c r="A1228" s="3">
        <v>0</v>
      </c>
    </row>
    <row r="1229" spans="1:1" ht="15.75" thickBot="1" x14ac:dyDescent="0.3">
      <c r="A1229" s="3">
        <v>1</v>
      </c>
    </row>
    <row r="1230" spans="1:1" x14ac:dyDescent="0.25">
      <c r="A1230" s="4" t="s">
        <v>617</v>
      </c>
    </row>
    <row r="1231" spans="1:1" ht="15.75" thickBot="1" x14ac:dyDescent="0.3">
      <c r="A1231" t="s">
        <v>618</v>
      </c>
    </row>
    <row r="1232" spans="1:1" ht="15.75" thickBot="1" x14ac:dyDescent="0.3">
      <c r="A1232" s="2">
        <v>0</v>
      </c>
    </row>
    <row r="1233" spans="1:1" ht="15.75" thickBot="1" x14ac:dyDescent="0.3">
      <c r="A1233" t="s">
        <v>619</v>
      </c>
    </row>
    <row r="1234" spans="1:1" ht="15.75" thickBot="1" x14ac:dyDescent="0.3">
      <c r="A1234" s="3">
        <v>0</v>
      </c>
    </row>
    <row r="1235" spans="1:1" ht="15.75" thickBot="1" x14ac:dyDescent="0.3">
      <c r="A1235" s="3">
        <v>1</v>
      </c>
    </row>
    <row r="1236" spans="1:1" x14ac:dyDescent="0.25">
      <c r="A1236" s="4" t="s">
        <v>620</v>
      </c>
    </row>
    <row r="1237" spans="1:1" ht="15.75" thickBot="1" x14ac:dyDescent="0.3">
      <c r="A1237" t="s">
        <v>621</v>
      </c>
    </row>
    <row r="1238" spans="1:1" ht="15.75" thickBot="1" x14ac:dyDescent="0.3">
      <c r="A1238" s="2">
        <v>0</v>
      </c>
    </row>
    <row r="1239" spans="1:1" ht="15.75" thickBot="1" x14ac:dyDescent="0.3">
      <c r="A1239" t="s">
        <v>622</v>
      </c>
    </row>
    <row r="1240" spans="1:1" ht="15.75" thickBot="1" x14ac:dyDescent="0.3">
      <c r="A1240" s="3">
        <v>0</v>
      </c>
    </row>
    <row r="1241" spans="1:1" ht="15.75" thickBot="1" x14ac:dyDescent="0.3">
      <c r="A1241" s="3">
        <v>1</v>
      </c>
    </row>
    <row r="1242" spans="1:1" x14ac:dyDescent="0.25">
      <c r="A1242" s="4" t="s">
        <v>623</v>
      </c>
    </row>
    <row r="1243" spans="1:1" ht="15.75" thickBot="1" x14ac:dyDescent="0.3">
      <c r="A1243" t="s">
        <v>624</v>
      </c>
    </row>
    <row r="1244" spans="1:1" ht="15.75" thickBot="1" x14ac:dyDescent="0.3">
      <c r="A1244" s="2">
        <v>0</v>
      </c>
    </row>
    <row r="1245" spans="1:1" ht="15.75" thickBot="1" x14ac:dyDescent="0.3">
      <c r="A1245" t="s">
        <v>625</v>
      </c>
    </row>
    <row r="1246" spans="1:1" ht="15.75" thickBot="1" x14ac:dyDescent="0.3">
      <c r="A1246" s="3">
        <v>0</v>
      </c>
    </row>
    <row r="1247" spans="1:1" ht="15.75" thickBot="1" x14ac:dyDescent="0.3">
      <c r="A1247" s="3">
        <v>1</v>
      </c>
    </row>
    <row r="1248" spans="1:1" x14ac:dyDescent="0.25">
      <c r="A1248" s="4" t="s">
        <v>626</v>
      </c>
    </row>
    <row r="1249" spans="1:1" ht="15.75" thickBot="1" x14ac:dyDescent="0.3">
      <c r="A1249" t="s">
        <v>627</v>
      </c>
    </row>
    <row r="1250" spans="1:1" ht="15.75" thickBot="1" x14ac:dyDescent="0.3">
      <c r="A1250" s="2">
        <v>0</v>
      </c>
    </row>
    <row r="1251" spans="1:1" ht="15.75" thickBot="1" x14ac:dyDescent="0.3">
      <c r="A1251" t="s">
        <v>628</v>
      </c>
    </row>
    <row r="1252" spans="1:1" ht="15.75" thickBot="1" x14ac:dyDescent="0.3">
      <c r="A1252" s="3">
        <v>0</v>
      </c>
    </row>
    <row r="1253" spans="1:1" ht="15.75" thickBot="1" x14ac:dyDescent="0.3">
      <c r="A1253" s="3">
        <v>1</v>
      </c>
    </row>
    <row r="1254" spans="1:1" x14ac:dyDescent="0.25">
      <c r="A1254" s="4" t="s">
        <v>629</v>
      </c>
    </row>
    <row r="1255" spans="1:1" ht="15.75" thickBot="1" x14ac:dyDescent="0.3">
      <c r="A1255" s="5" t="s">
        <v>630</v>
      </c>
    </row>
    <row r="1256" spans="1:1" ht="15.75" thickBot="1" x14ac:dyDescent="0.3">
      <c r="A1256" s="2">
        <v>0</v>
      </c>
    </row>
    <row r="1257" spans="1:1" ht="15.75" thickBot="1" x14ac:dyDescent="0.3">
      <c r="A1257" t="s">
        <v>631</v>
      </c>
    </row>
    <row r="1258" spans="1:1" ht="15.75" thickBot="1" x14ac:dyDescent="0.3">
      <c r="A1258" s="3">
        <v>0</v>
      </c>
    </row>
    <row r="1259" spans="1:1" ht="15.75" thickBot="1" x14ac:dyDescent="0.3">
      <c r="A1259" s="3">
        <v>1</v>
      </c>
    </row>
    <row r="1260" spans="1:1" x14ac:dyDescent="0.25">
      <c r="A1260" s="4" t="s">
        <v>632</v>
      </c>
    </row>
    <row r="1261" spans="1:1" ht="15.75" thickBot="1" x14ac:dyDescent="0.3">
      <c r="A1261" s="1" t="s">
        <v>633</v>
      </c>
    </row>
    <row r="1262" spans="1:1" ht="15.75" thickBot="1" x14ac:dyDescent="0.3">
      <c r="A1262" s="2">
        <v>0</v>
      </c>
    </row>
    <row r="1263" spans="1:1" ht="15.75" thickBot="1" x14ac:dyDescent="0.3">
      <c r="A1263" t="s">
        <v>634</v>
      </c>
    </row>
    <row r="1264" spans="1:1" ht="15.75" thickBot="1" x14ac:dyDescent="0.3">
      <c r="A1264" s="3">
        <v>0</v>
      </c>
    </row>
    <row r="1265" spans="1:1" ht="15.75" thickBot="1" x14ac:dyDescent="0.3">
      <c r="A1265" s="3">
        <v>1</v>
      </c>
    </row>
    <row r="1266" spans="1:1" x14ac:dyDescent="0.25">
      <c r="A1266" s="4" t="s">
        <v>635</v>
      </c>
    </row>
    <row r="1267" spans="1:1" ht="15.75" thickBot="1" x14ac:dyDescent="0.3">
      <c r="A1267" s="5" t="s">
        <v>636</v>
      </c>
    </row>
    <row r="1268" spans="1:1" ht="15.75" thickBot="1" x14ac:dyDescent="0.3">
      <c r="A1268" s="2">
        <v>0</v>
      </c>
    </row>
    <row r="1269" spans="1:1" ht="15.75" thickBot="1" x14ac:dyDescent="0.3">
      <c r="A1269" t="s">
        <v>637</v>
      </c>
    </row>
    <row r="1270" spans="1:1" ht="15.75" thickBot="1" x14ac:dyDescent="0.3">
      <c r="A1270" s="3">
        <v>0</v>
      </c>
    </row>
    <row r="1271" spans="1:1" ht="15.75" thickBot="1" x14ac:dyDescent="0.3">
      <c r="A1271" s="3">
        <v>1</v>
      </c>
    </row>
    <row r="1272" spans="1:1" x14ac:dyDescent="0.25">
      <c r="A1272" s="4" t="s">
        <v>638</v>
      </c>
    </row>
    <row r="1273" spans="1:1" ht="15.75" thickBot="1" x14ac:dyDescent="0.3">
      <c r="A1273" t="s">
        <v>639</v>
      </c>
    </row>
    <row r="1274" spans="1:1" ht="15.75" thickBot="1" x14ac:dyDescent="0.3">
      <c r="A1274" s="2">
        <v>0</v>
      </c>
    </row>
    <row r="1275" spans="1:1" ht="15.75" thickBot="1" x14ac:dyDescent="0.3">
      <c r="A1275" t="s">
        <v>640</v>
      </c>
    </row>
    <row r="1276" spans="1:1" ht="15.75" thickBot="1" x14ac:dyDescent="0.3">
      <c r="A1276" s="3">
        <v>0</v>
      </c>
    </row>
    <row r="1277" spans="1:1" ht="15.75" thickBot="1" x14ac:dyDescent="0.3">
      <c r="A1277" s="3">
        <v>1</v>
      </c>
    </row>
    <row r="1278" spans="1:1" x14ac:dyDescent="0.25">
      <c r="A1278" s="4" t="s">
        <v>641</v>
      </c>
    </row>
    <row r="1279" spans="1:1" ht="15.75" thickBot="1" x14ac:dyDescent="0.3">
      <c r="A1279" t="s">
        <v>642</v>
      </c>
    </row>
    <row r="1280" spans="1:1" ht="15.75" thickBot="1" x14ac:dyDescent="0.3">
      <c r="A1280" s="2">
        <v>0</v>
      </c>
    </row>
    <row r="1281" spans="1:1" ht="15.75" thickBot="1" x14ac:dyDescent="0.3">
      <c r="A1281" t="s">
        <v>643</v>
      </c>
    </row>
    <row r="1282" spans="1:1" ht="15.75" thickBot="1" x14ac:dyDescent="0.3">
      <c r="A1282" s="3">
        <v>0</v>
      </c>
    </row>
    <row r="1283" spans="1:1" ht="15.75" thickBot="1" x14ac:dyDescent="0.3">
      <c r="A1283" s="3">
        <v>1</v>
      </c>
    </row>
    <row r="1284" spans="1:1" x14ac:dyDescent="0.25">
      <c r="A1284" s="4" t="s">
        <v>644</v>
      </c>
    </row>
    <row r="1285" spans="1:1" ht="15.75" thickBot="1" x14ac:dyDescent="0.3">
      <c r="A1285" s="5" t="s">
        <v>645</v>
      </c>
    </row>
    <row r="1286" spans="1:1" ht="15.75" thickBot="1" x14ac:dyDescent="0.3">
      <c r="A1286" s="2">
        <v>0</v>
      </c>
    </row>
    <row r="1287" spans="1:1" ht="15.75" thickBot="1" x14ac:dyDescent="0.3">
      <c r="A1287" t="s">
        <v>646</v>
      </c>
    </row>
    <row r="1288" spans="1:1" ht="15.75" thickBot="1" x14ac:dyDescent="0.3">
      <c r="A1288" s="3">
        <v>0</v>
      </c>
    </row>
    <row r="1289" spans="1:1" ht="15.75" thickBot="1" x14ac:dyDescent="0.3">
      <c r="A1289" s="3">
        <v>1</v>
      </c>
    </row>
    <row r="1290" spans="1:1" x14ac:dyDescent="0.25">
      <c r="A1290" s="4" t="s">
        <v>647</v>
      </c>
    </row>
    <row r="1291" spans="1:1" ht="15.75" thickBot="1" x14ac:dyDescent="0.3">
      <c r="A1291" s="1" t="s">
        <v>648</v>
      </c>
    </row>
    <row r="1292" spans="1:1" ht="15.75" thickBot="1" x14ac:dyDescent="0.3">
      <c r="A1292" s="2">
        <v>0</v>
      </c>
    </row>
    <row r="1293" spans="1:1" ht="15.75" thickBot="1" x14ac:dyDescent="0.3">
      <c r="A1293" t="s">
        <v>649</v>
      </c>
    </row>
    <row r="1294" spans="1:1" ht="15.75" thickBot="1" x14ac:dyDescent="0.3">
      <c r="A1294" s="3">
        <v>0</v>
      </c>
    </row>
    <row r="1295" spans="1:1" ht="15.75" thickBot="1" x14ac:dyDescent="0.3">
      <c r="A1295" s="3">
        <v>1</v>
      </c>
    </row>
    <row r="1296" spans="1:1" x14ac:dyDescent="0.25">
      <c r="A1296" s="4" t="s">
        <v>650</v>
      </c>
    </row>
    <row r="1297" spans="1:1" ht="15.75" thickBot="1" x14ac:dyDescent="0.3">
      <c r="A1297" s="1" t="s">
        <v>651</v>
      </c>
    </row>
    <row r="1298" spans="1:1" ht="15.75" thickBot="1" x14ac:dyDescent="0.3">
      <c r="A1298" s="2">
        <v>0</v>
      </c>
    </row>
    <row r="1299" spans="1:1" ht="15.75" thickBot="1" x14ac:dyDescent="0.3">
      <c r="A1299" t="s">
        <v>652</v>
      </c>
    </row>
    <row r="1300" spans="1:1" ht="15.75" thickBot="1" x14ac:dyDescent="0.3">
      <c r="A1300" s="3">
        <v>0</v>
      </c>
    </row>
    <row r="1301" spans="1:1" ht="15.75" thickBot="1" x14ac:dyDescent="0.3">
      <c r="A1301" s="3">
        <v>1</v>
      </c>
    </row>
    <row r="1302" spans="1:1" x14ac:dyDescent="0.25">
      <c r="A1302" s="4" t="s">
        <v>653</v>
      </c>
    </row>
    <row r="1303" spans="1:1" ht="15.75" thickBot="1" x14ac:dyDescent="0.3">
      <c r="A1303" t="s">
        <v>654</v>
      </c>
    </row>
    <row r="1304" spans="1:1" ht="15.75" thickBot="1" x14ac:dyDescent="0.3">
      <c r="A1304" s="2">
        <v>0</v>
      </c>
    </row>
    <row r="1305" spans="1:1" ht="15.75" thickBot="1" x14ac:dyDescent="0.3">
      <c r="A1305" t="s">
        <v>655</v>
      </c>
    </row>
    <row r="1306" spans="1:1" ht="15.75" thickBot="1" x14ac:dyDescent="0.3">
      <c r="A1306" s="3">
        <v>0</v>
      </c>
    </row>
    <row r="1307" spans="1:1" ht="15.75" thickBot="1" x14ac:dyDescent="0.3">
      <c r="A1307" s="3">
        <v>1</v>
      </c>
    </row>
    <row r="1308" spans="1:1" x14ac:dyDescent="0.25">
      <c r="A1308" s="4" t="s">
        <v>656</v>
      </c>
    </row>
    <row r="1309" spans="1:1" ht="15.75" thickBot="1" x14ac:dyDescent="0.3">
      <c r="A1309" t="s">
        <v>657</v>
      </c>
    </row>
    <row r="1310" spans="1:1" ht="15.75" thickBot="1" x14ac:dyDescent="0.3">
      <c r="A1310" s="2">
        <v>0</v>
      </c>
    </row>
    <row r="1311" spans="1:1" ht="15.75" thickBot="1" x14ac:dyDescent="0.3">
      <c r="A1311" t="s">
        <v>658</v>
      </c>
    </row>
    <row r="1312" spans="1:1" ht="15.75" thickBot="1" x14ac:dyDescent="0.3">
      <c r="A1312" s="3">
        <v>0</v>
      </c>
    </row>
    <row r="1313" spans="1:1" ht="15.75" thickBot="1" x14ac:dyDescent="0.3">
      <c r="A1313" s="3">
        <v>1</v>
      </c>
    </row>
    <row r="1314" spans="1:1" x14ac:dyDescent="0.25">
      <c r="A1314" s="4" t="s">
        <v>659</v>
      </c>
    </row>
    <row r="1315" spans="1:1" ht="15.75" thickBot="1" x14ac:dyDescent="0.3">
      <c r="A1315" s="5" t="s">
        <v>660</v>
      </c>
    </row>
    <row r="1316" spans="1:1" ht="15.75" thickBot="1" x14ac:dyDescent="0.3">
      <c r="A1316" s="2">
        <v>0</v>
      </c>
    </row>
    <row r="1317" spans="1:1" ht="15.75" thickBot="1" x14ac:dyDescent="0.3">
      <c r="A1317" t="s">
        <v>661</v>
      </c>
    </row>
    <row r="1318" spans="1:1" ht="15.75" thickBot="1" x14ac:dyDescent="0.3">
      <c r="A1318" s="3">
        <v>0</v>
      </c>
    </row>
    <row r="1319" spans="1:1" ht="15.75" thickBot="1" x14ac:dyDescent="0.3">
      <c r="A1319" s="3">
        <v>1</v>
      </c>
    </row>
    <row r="1320" spans="1:1" x14ac:dyDescent="0.25">
      <c r="A1320" s="4" t="s">
        <v>662</v>
      </c>
    </row>
    <row r="1321" spans="1:1" ht="15.75" thickBot="1" x14ac:dyDescent="0.3">
      <c r="A1321" s="1" t="s">
        <v>663</v>
      </c>
    </row>
    <row r="1322" spans="1:1" ht="15.75" thickBot="1" x14ac:dyDescent="0.3">
      <c r="A1322" s="2">
        <v>0</v>
      </c>
    </row>
    <row r="1323" spans="1:1" ht="15.75" thickBot="1" x14ac:dyDescent="0.3">
      <c r="A1323" t="s">
        <v>664</v>
      </c>
    </row>
    <row r="1324" spans="1:1" ht="15.75" thickBot="1" x14ac:dyDescent="0.3">
      <c r="A1324" s="3">
        <v>0</v>
      </c>
    </row>
    <row r="1325" spans="1:1" ht="15.75" thickBot="1" x14ac:dyDescent="0.3">
      <c r="A1325" s="3">
        <v>1</v>
      </c>
    </row>
    <row r="1326" spans="1:1" x14ac:dyDescent="0.25">
      <c r="A1326" s="4" t="s">
        <v>665</v>
      </c>
    </row>
    <row r="1327" spans="1:1" ht="15.75" thickBot="1" x14ac:dyDescent="0.3">
      <c r="A1327" t="s">
        <v>666</v>
      </c>
    </row>
    <row r="1328" spans="1:1" ht="15.75" thickBot="1" x14ac:dyDescent="0.3">
      <c r="A1328" s="2">
        <v>0</v>
      </c>
    </row>
    <row r="1329" spans="1:1" ht="15.75" thickBot="1" x14ac:dyDescent="0.3">
      <c r="A1329" t="s">
        <v>667</v>
      </c>
    </row>
    <row r="1330" spans="1:1" ht="15.75" thickBot="1" x14ac:dyDescent="0.3">
      <c r="A1330" s="3">
        <v>0</v>
      </c>
    </row>
    <row r="1331" spans="1:1" ht="15.75" thickBot="1" x14ac:dyDescent="0.3">
      <c r="A1331" s="3">
        <v>1</v>
      </c>
    </row>
    <row r="1332" spans="1:1" x14ac:dyDescent="0.25">
      <c r="A1332" s="4" t="s">
        <v>668</v>
      </c>
    </row>
    <row r="1333" spans="1:1" ht="15.75" thickBot="1" x14ac:dyDescent="0.3">
      <c r="A1333" s="1" t="s">
        <v>669</v>
      </c>
    </row>
    <row r="1334" spans="1:1" ht="15.75" thickBot="1" x14ac:dyDescent="0.3">
      <c r="A1334" s="2">
        <v>0</v>
      </c>
    </row>
    <row r="1335" spans="1:1" ht="15.75" thickBot="1" x14ac:dyDescent="0.3">
      <c r="A1335" t="s">
        <v>670</v>
      </c>
    </row>
    <row r="1336" spans="1:1" ht="15.75" thickBot="1" x14ac:dyDescent="0.3">
      <c r="A1336" s="3">
        <v>0</v>
      </c>
    </row>
    <row r="1337" spans="1:1" ht="15.75" thickBot="1" x14ac:dyDescent="0.3">
      <c r="A1337" s="3">
        <v>1</v>
      </c>
    </row>
    <row r="1338" spans="1:1" x14ac:dyDescent="0.25">
      <c r="A1338" s="4" t="s">
        <v>671</v>
      </c>
    </row>
    <row r="1339" spans="1:1" ht="15.75" thickBot="1" x14ac:dyDescent="0.3">
      <c r="A1339" t="s">
        <v>672</v>
      </c>
    </row>
    <row r="1340" spans="1:1" ht="15.75" thickBot="1" x14ac:dyDescent="0.3">
      <c r="A1340" s="2">
        <v>0</v>
      </c>
    </row>
    <row r="1341" spans="1:1" ht="15.75" thickBot="1" x14ac:dyDescent="0.3">
      <c r="A1341" t="s">
        <v>673</v>
      </c>
    </row>
    <row r="1342" spans="1:1" ht="15.75" thickBot="1" x14ac:dyDescent="0.3">
      <c r="A1342" s="3">
        <v>0</v>
      </c>
    </row>
    <row r="1343" spans="1:1" ht="15.75" thickBot="1" x14ac:dyDescent="0.3">
      <c r="A1343" s="3">
        <v>1</v>
      </c>
    </row>
    <row r="1344" spans="1:1" x14ac:dyDescent="0.25">
      <c r="A1344" s="4" t="s">
        <v>674</v>
      </c>
    </row>
    <row r="1345" spans="1:1" ht="15.75" thickBot="1" x14ac:dyDescent="0.3">
      <c r="A1345" s="5" t="s">
        <v>675</v>
      </c>
    </row>
    <row r="1346" spans="1:1" ht="15.75" thickBot="1" x14ac:dyDescent="0.3">
      <c r="A1346" s="2">
        <v>0</v>
      </c>
    </row>
    <row r="1347" spans="1:1" ht="15.75" thickBot="1" x14ac:dyDescent="0.3">
      <c r="A1347" t="s">
        <v>676</v>
      </c>
    </row>
    <row r="1348" spans="1:1" ht="15.75" thickBot="1" x14ac:dyDescent="0.3">
      <c r="A1348" s="3">
        <v>0</v>
      </c>
    </row>
    <row r="1349" spans="1:1" ht="15.75" thickBot="1" x14ac:dyDescent="0.3">
      <c r="A1349" s="3">
        <v>1</v>
      </c>
    </row>
    <row r="1350" spans="1:1" x14ac:dyDescent="0.25">
      <c r="A1350" s="4" t="s">
        <v>677</v>
      </c>
    </row>
    <row r="1351" spans="1:1" ht="15.75" thickBot="1" x14ac:dyDescent="0.3">
      <c r="A1351" s="5" t="s">
        <v>678</v>
      </c>
    </row>
    <row r="1352" spans="1:1" ht="15.75" thickBot="1" x14ac:dyDescent="0.3">
      <c r="A1352" s="2">
        <v>0</v>
      </c>
    </row>
    <row r="1353" spans="1:1" ht="15.75" thickBot="1" x14ac:dyDescent="0.3">
      <c r="A1353" t="s">
        <v>679</v>
      </c>
    </row>
    <row r="1354" spans="1:1" ht="15.75" thickBot="1" x14ac:dyDescent="0.3">
      <c r="A1354" s="3">
        <v>0</v>
      </c>
    </row>
    <row r="1355" spans="1:1" ht="15.75" thickBot="1" x14ac:dyDescent="0.3">
      <c r="A1355" s="3">
        <v>1</v>
      </c>
    </row>
    <row r="1356" spans="1:1" x14ac:dyDescent="0.25">
      <c r="A1356" s="4" t="s">
        <v>680</v>
      </c>
    </row>
    <row r="1357" spans="1:1" ht="15.75" thickBot="1" x14ac:dyDescent="0.3">
      <c r="A1357" s="5" t="s">
        <v>681</v>
      </c>
    </row>
    <row r="1358" spans="1:1" ht="15.75" thickBot="1" x14ac:dyDescent="0.3">
      <c r="A1358" s="2">
        <v>0</v>
      </c>
    </row>
    <row r="1359" spans="1:1" ht="15.75" thickBot="1" x14ac:dyDescent="0.3">
      <c r="A1359" t="s">
        <v>682</v>
      </c>
    </row>
    <row r="1360" spans="1:1" ht="15.75" thickBot="1" x14ac:dyDescent="0.3">
      <c r="A1360" s="3">
        <v>0</v>
      </c>
    </row>
    <row r="1361" spans="1:1" ht="15.75" thickBot="1" x14ac:dyDescent="0.3">
      <c r="A1361" s="3">
        <v>1</v>
      </c>
    </row>
    <row r="1362" spans="1:1" x14ac:dyDescent="0.25">
      <c r="A1362" s="4" t="s">
        <v>683</v>
      </c>
    </row>
    <row r="1363" spans="1:1" ht="15.75" thickBot="1" x14ac:dyDescent="0.3">
      <c r="A1363" s="1" t="s">
        <v>684</v>
      </c>
    </row>
    <row r="1364" spans="1:1" ht="15.75" thickBot="1" x14ac:dyDescent="0.3">
      <c r="A1364" s="2">
        <v>0</v>
      </c>
    </row>
    <row r="1365" spans="1:1" ht="15.75" thickBot="1" x14ac:dyDescent="0.3">
      <c r="A1365" t="s">
        <v>685</v>
      </c>
    </row>
    <row r="1366" spans="1:1" ht="15.75" thickBot="1" x14ac:dyDescent="0.3">
      <c r="A1366" s="3">
        <v>0</v>
      </c>
    </row>
    <row r="1367" spans="1:1" ht="15.75" thickBot="1" x14ac:dyDescent="0.3">
      <c r="A1367" s="3">
        <v>1</v>
      </c>
    </row>
    <row r="1368" spans="1:1" x14ac:dyDescent="0.25">
      <c r="A1368" s="4" t="s">
        <v>686</v>
      </c>
    </row>
    <row r="1369" spans="1:1" ht="15.75" thickBot="1" x14ac:dyDescent="0.3">
      <c r="A1369" s="5" t="s">
        <v>687</v>
      </c>
    </row>
    <row r="1370" spans="1:1" ht="15.75" thickBot="1" x14ac:dyDescent="0.3">
      <c r="A1370" s="2">
        <v>0</v>
      </c>
    </row>
    <row r="1371" spans="1:1" ht="15.75" thickBot="1" x14ac:dyDescent="0.3">
      <c r="A1371" t="s">
        <v>688</v>
      </c>
    </row>
    <row r="1372" spans="1:1" ht="15.75" thickBot="1" x14ac:dyDescent="0.3">
      <c r="A1372" s="3">
        <v>0</v>
      </c>
    </row>
    <row r="1373" spans="1:1" ht="15.75" thickBot="1" x14ac:dyDescent="0.3">
      <c r="A1373" s="3">
        <v>1</v>
      </c>
    </row>
    <row r="1374" spans="1:1" x14ac:dyDescent="0.25">
      <c r="A1374" s="4" t="s">
        <v>689</v>
      </c>
    </row>
    <row r="1375" spans="1:1" ht="15.75" thickBot="1" x14ac:dyDescent="0.3">
      <c r="A1375" t="s">
        <v>690</v>
      </c>
    </row>
    <row r="1376" spans="1:1" ht="15.75" thickBot="1" x14ac:dyDescent="0.3">
      <c r="A1376" s="2">
        <v>0</v>
      </c>
    </row>
    <row r="1377" spans="1:1" ht="15.75" thickBot="1" x14ac:dyDescent="0.3">
      <c r="A1377" t="s">
        <v>691</v>
      </c>
    </row>
    <row r="1378" spans="1:1" ht="15.75" thickBot="1" x14ac:dyDescent="0.3">
      <c r="A1378" s="3">
        <v>0</v>
      </c>
    </row>
    <row r="1379" spans="1:1" ht="15.75" thickBot="1" x14ac:dyDescent="0.3">
      <c r="A1379" s="3">
        <v>1</v>
      </c>
    </row>
    <row r="1380" spans="1:1" x14ac:dyDescent="0.25">
      <c r="A1380" s="4" t="s">
        <v>692</v>
      </c>
    </row>
    <row r="1381" spans="1:1" ht="15.75" thickBot="1" x14ac:dyDescent="0.3">
      <c r="A1381" s="1" t="s">
        <v>693</v>
      </c>
    </row>
    <row r="1382" spans="1:1" ht="15.75" thickBot="1" x14ac:dyDescent="0.3">
      <c r="A1382" s="2">
        <v>0</v>
      </c>
    </row>
    <row r="1383" spans="1:1" ht="15.75" thickBot="1" x14ac:dyDescent="0.3">
      <c r="A1383" t="s">
        <v>694</v>
      </c>
    </row>
    <row r="1384" spans="1:1" ht="15.75" thickBot="1" x14ac:dyDescent="0.3">
      <c r="A1384" s="3">
        <v>0</v>
      </c>
    </row>
    <row r="1385" spans="1:1" ht="15.75" thickBot="1" x14ac:dyDescent="0.3">
      <c r="A1385" s="3">
        <v>1</v>
      </c>
    </row>
    <row r="1386" spans="1:1" x14ac:dyDescent="0.25">
      <c r="A1386" s="4" t="s">
        <v>695</v>
      </c>
    </row>
    <row r="1387" spans="1:1" ht="15.75" thickBot="1" x14ac:dyDescent="0.3">
      <c r="A1387" t="s">
        <v>696</v>
      </c>
    </row>
    <row r="1388" spans="1:1" ht="15.75" thickBot="1" x14ac:dyDescent="0.3">
      <c r="A1388" s="2">
        <v>0</v>
      </c>
    </row>
    <row r="1389" spans="1:1" ht="15.75" thickBot="1" x14ac:dyDescent="0.3">
      <c r="A1389" t="s">
        <v>697</v>
      </c>
    </row>
    <row r="1390" spans="1:1" ht="15.75" thickBot="1" x14ac:dyDescent="0.3">
      <c r="A1390" s="3">
        <v>0</v>
      </c>
    </row>
    <row r="1391" spans="1:1" ht="15.75" thickBot="1" x14ac:dyDescent="0.3">
      <c r="A1391" s="3">
        <v>1</v>
      </c>
    </row>
    <row r="1392" spans="1:1" x14ac:dyDescent="0.25">
      <c r="A1392" s="4" t="s">
        <v>698</v>
      </c>
    </row>
    <row r="1393" spans="1:1" ht="15.75" thickBot="1" x14ac:dyDescent="0.3">
      <c r="A1393" s="1" t="s">
        <v>699</v>
      </c>
    </row>
    <row r="1394" spans="1:1" ht="15.75" thickBot="1" x14ac:dyDescent="0.3">
      <c r="A1394" s="2">
        <v>0</v>
      </c>
    </row>
    <row r="1395" spans="1:1" ht="15.75" thickBot="1" x14ac:dyDescent="0.3">
      <c r="A1395" t="s">
        <v>700</v>
      </c>
    </row>
    <row r="1396" spans="1:1" ht="15.75" thickBot="1" x14ac:dyDescent="0.3">
      <c r="A1396" s="3">
        <v>0</v>
      </c>
    </row>
    <row r="1397" spans="1:1" ht="15.75" thickBot="1" x14ac:dyDescent="0.3">
      <c r="A1397" s="3">
        <v>1</v>
      </c>
    </row>
    <row r="1398" spans="1:1" x14ac:dyDescent="0.25">
      <c r="A1398" s="4" t="s">
        <v>701</v>
      </c>
    </row>
    <row r="1399" spans="1:1" ht="15.75" thickBot="1" x14ac:dyDescent="0.3">
      <c r="A1399" s="5" t="s">
        <v>702</v>
      </c>
    </row>
    <row r="1400" spans="1:1" ht="15.75" thickBot="1" x14ac:dyDescent="0.3">
      <c r="A1400" s="2">
        <v>0</v>
      </c>
    </row>
    <row r="1401" spans="1:1" ht="15.75" thickBot="1" x14ac:dyDescent="0.3">
      <c r="A1401" t="s">
        <v>703</v>
      </c>
    </row>
    <row r="1402" spans="1:1" ht="15.75" thickBot="1" x14ac:dyDescent="0.3">
      <c r="A1402" s="3">
        <v>0</v>
      </c>
    </row>
    <row r="1403" spans="1:1" ht="15.75" thickBot="1" x14ac:dyDescent="0.3">
      <c r="A1403" s="3">
        <v>1</v>
      </c>
    </row>
    <row r="1404" spans="1:1" x14ac:dyDescent="0.25">
      <c r="A1404" s="4" t="s">
        <v>704</v>
      </c>
    </row>
    <row r="1405" spans="1:1" ht="15.75" thickBot="1" x14ac:dyDescent="0.3">
      <c r="A1405" t="s">
        <v>705</v>
      </c>
    </row>
    <row r="1406" spans="1:1" ht="15.75" thickBot="1" x14ac:dyDescent="0.3">
      <c r="A1406" s="2">
        <v>0</v>
      </c>
    </row>
    <row r="1407" spans="1:1" ht="15.75" thickBot="1" x14ac:dyDescent="0.3">
      <c r="A1407" t="s">
        <v>706</v>
      </c>
    </row>
    <row r="1408" spans="1:1" ht="15.75" thickBot="1" x14ac:dyDescent="0.3">
      <c r="A1408" s="3">
        <v>0</v>
      </c>
    </row>
    <row r="1409" spans="1:1" ht="15.75" thickBot="1" x14ac:dyDescent="0.3">
      <c r="A1409" s="3">
        <v>1</v>
      </c>
    </row>
    <row r="1410" spans="1:1" x14ac:dyDescent="0.25">
      <c r="A1410" s="4" t="s">
        <v>707</v>
      </c>
    </row>
    <row r="1411" spans="1:1" ht="15.75" thickBot="1" x14ac:dyDescent="0.3">
      <c r="A1411" s="1" t="s">
        <v>708</v>
      </c>
    </row>
    <row r="1412" spans="1:1" ht="15.75" thickBot="1" x14ac:dyDescent="0.3">
      <c r="A1412" s="2">
        <v>0</v>
      </c>
    </row>
    <row r="1413" spans="1:1" ht="15.75" thickBot="1" x14ac:dyDescent="0.3">
      <c r="A1413" t="s">
        <v>709</v>
      </c>
    </row>
    <row r="1414" spans="1:1" ht="15.75" thickBot="1" x14ac:dyDescent="0.3">
      <c r="A1414" s="3">
        <v>0</v>
      </c>
    </row>
    <row r="1415" spans="1:1" ht="15.75" thickBot="1" x14ac:dyDescent="0.3">
      <c r="A1415" s="3">
        <v>1</v>
      </c>
    </row>
    <row r="1416" spans="1:1" x14ac:dyDescent="0.25">
      <c r="A1416" s="4" t="s">
        <v>710</v>
      </c>
    </row>
    <row r="1417" spans="1:1" ht="15.75" thickBot="1" x14ac:dyDescent="0.3">
      <c r="A1417" s="1" t="s">
        <v>711</v>
      </c>
    </row>
    <row r="1418" spans="1:1" ht="15.75" thickBot="1" x14ac:dyDescent="0.3">
      <c r="A1418" s="2">
        <v>0</v>
      </c>
    </row>
    <row r="1419" spans="1:1" ht="15.75" thickBot="1" x14ac:dyDescent="0.3">
      <c r="A1419" t="s">
        <v>712</v>
      </c>
    </row>
    <row r="1420" spans="1:1" ht="15.75" thickBot="1" x14ac:dyDescent="0.3">
      <c r="A1420" s="3">
        <v>0</v>
      </c>
    </row>
    <row r="1421" spans="1:1" ht="15.75" thickBot="1" x14ac:dyDescent="0.3">
      <c r="A1421" s="3">
        <v>1</v>
      </c>
    </row>
    <row r="1422" spans="1:1" x14ac:dyDescent="0.25">
      <c r="A1422" s="4" t="s">
        <v>713</v>
      </c>
    </row>
    <row r="1423" spans="1:1" ht="15.75" thickBot="1" x14ac:dyDescent="0.3">
      <c r="A1423" t="s">
        <v>714</v>
      </c>
    </row>
    <row r="1424" spans="1:1" ht="15.75" thickBot="1" x14ac:dyDescent="0.3">
      <c r="A1424" s="2">
        <v>0</v>
      </c>
    </row>
    <row r="1425" spans="1:1" ht="15.75" thickBot="1" x14ac:dyDescent="0.3">
      <c r="A1425" t="s">
        <v>715</v>
      </c>
    </row>
    <row r="1426" spans="1:1" ht="15.75" thickBot="1" x14ac:dyDescent="0.3">
      <c r="A1426" s="3">
        <v>0</v>
      </c>
    </row>
    <row r="1427" spans="1:1" ht="15.75" thickBot="1" x14ac:dyDescent="0.3">
      <c r="A1427" s="3">
        <v>1</v>
      </c>
    </row>
    <row r="1428" spans="1:1" x14ac:dyDescent="0.25">
      <c r="A1428" s="4" t="s">
        <v>716</v>
      </c>
    </row>
    <row r="1429" spans="1:1" ht="15.75" thickBot="1" x14ac:dyDescent="0.3">
      <c r="A1429" s="5" t="s">
        <v>717</v>
      </c>
    </row>
    <row r="1430" spans="1:1" ht="15.75" thickBot="1" x14ac:dyDescent="0.3">
      <c r="A1430" s="2">
        <v>0</v>
      </c>
    </row>
    <row r="1431" spans="1:1" ht="15.75" thickBot="1" x14ac:dyDescent="0.3">
      <c r="A1431" t="s">
        <v>718</v>
      </c>
    </row>
    <row r="1432" spans="1:1" ht="15.75" thickBot="1" x14ac:dyDescent="0.3">
      <c r="A1432" s="3">
        <v>0</v>
      </c>
    </row>
    <row r="1433" spans="1:1" ht="15.75" thickBot="1" x14ac:dyDescent="0.3">
      <c r="A1433" s="3">
        <v>1</v>
      </c>
    </row>
    <row r="1434" spans="1:1" x14ac:dyDescent="0.25">
      <c r="A1434" s="4" t="s">
        <v>719</v>
      </c>
    </row>
    <row r="1435" spans="1:1" ht="15.75" thickBot="1" x14ac:dyDescent="0.3">
      <c r="A1435" s="1" t="s">
        <v>720</v>
      </c>
    </row>
    <row r="1436" spans="1:1" ht="15.75" thickBot="1" x14ac:dyDescent="0.3">
      <c r="A1436" s="2">
        <v>0</v>
      </c>
    </row>
    <row r="1437" spans="1:1" ht="15.75" thickBot="1" x14ac:dyDescent="0.3">
      <c r="A1437" t="s">
        <v>721</v>
      </c>
    </row>
    <row r="1438" spans="1:1" ht="15.75" thickBot="1" x14ac:dyDescent="0.3">
      <c r="A1438" s="3">
        <v>0</v>
      </c>
    </row>
    <row r="1439" spans="1:1" ht="15.75" thickBot="1" x14ac:dyDescent="0.3">
      <c r="A1439" s="3">
        <v>1</v>
      </c>
    </row>
    <row r="1440" spans="1:1" x14ac:dyDescent="0.25">
      <c r="A1440" s="4" t="s">
        <v>722</v>
      </c>
    </row>
    <row r="1441" spans="1:1" ht="15.75" thickBot="1" x14ac:dyDescent="0.3">
      <c r="A1441" t="s">
        <v>723</v>
      </c>
    </row>
    <row r="1442" spans="1:1" ht="15.75" thickBot="1" x14ac:dyDescent="0.3">
      <c r="A1442" s="2">
        <v>0</v>
      </c>
    </row>
    <row r="1443" spans="1:1" ht="15.75" thickBot="1" x14ac:dyDescent="0.3">
      <c r="A1443" t="s">
        <v>724</v>
      </c>
    </row>
    <row r="1444" spans="1:1" ht="15.75" thickBot="1" x14ac:dyDescent="0.3">
      <c r="A1444" s="3">
        <v>0</v>
      </c>
    </row>
    <row r="1445" spans="1:1" ht="15.75" thickBot="1" x14ac:dyDescent="0.3">
      <c r="A1445" s="3">
        <v>1</v>
      </c>
    </row>
    <row r="1446" spans="1:1" x14ac:dyDescent="0.25">
      <c r="A1446" s="4" t="s">
        <v>725</v>
      </c>
    </row>
    <row r="1447" spans="1:1" ht="15.75" thickBot="1" x14ac:dyDescent="0.3">
      <c r="A1447" t="s">
        <v>726</v>
      </c>
    </row>
    <row r="1448" spans="1:1" ht="15.75" thickBot="1" x14ac:dyDescent="0.3">
      <c r="A1448" s="2">
        <v>0</v>
      </c>
    </row>
    <row r="1449" spans="1:1" ht="15.75" thickBot="1" x14ac:dyDescent="0.3">
      <c r="A1449" t="s">
        <v>727</v>
      </c>
    </row>
    <row r="1450" spans="1:1" ht="15.75" thickBot="1" x14ac:dyDescent="0.3">
      <c r="A1450" s="3">
        <v>0</v>
      </c>
    </row>
    <row r="1451" spans="1:1" ht="15.75" thickBot="1" x14ac:dyDescent="0.3">
      <c r="A1451" s="3">
        <v>1</v>
      </c>
    </row>
    <row r="1452" spans="1:1" x14ac:dyDescent="0.25">
      <c r="A1452" s="4" t="s">
        <v>728</v>
      </c>
    </row>
    <row r="1453" spans="1:1" ht="15.75" thickBot="1" x14ac:dyDescent="0.3">
      <c r="A1453" s="1" t="s">
        <v>729</v>
      </c>
    </row>
    <row r="1454" spans="1:1" ht="15.75" thickBot="1" x14ac:dyDescent="0.3">
      <c r="A1454" s="2">
        <v>0</v>
      </c>
    </row>
    <row r="1455" spans="1:1" ht="15.75" thickBot="1" x14ac:dyDescent="0.3">
      <c r="A1455" t="s">
        <v>730</v>
      </c>
    </row>
    <row r="1456" spans="1:1" ht="15.75" thickBot="1" x14ac:dyDescent="0.3">
      <c r="A1456" s="3">
        <v>0</v>
      </c>
    </row>
    <row r="1457" spans="1:1" ht="15.75" thickBot="1" x14ac:dyDescent="0.3">
      <c r="A1457" s="3">
        <v>1</v>
      </c>
    </row>
    <row r="1458" spans="1:1" x14ac:dyDescent="0.25">
      <c r="A1458" s="4" t="s">
        <v>731</v>
      </c>
    </row>
    <row r="1459" spans="1:1" ht="15.75" thickBot="1" x14ac:dyDescent="0.3">
      <c r="A1459" s="5" t="s">
        <v>732</v>
      </c>
    </row>
    <row r="1460" spans="1:1" ht="15.75" thickBot="1" x14ac:dyDescent="0.3">
      <c r="A1460" s="2">
        <v>0</v>
      </c>
    </row>
    <row r="1461" spans="1:1" ht="15.75" thickBot="1" x14ac:dyDescent="0.3">
      <c r="A1461" t="s">
        <v>733</v>
      </c>
    </row>
    <row r="1462" spans="1:1" ht="15.75" thickBot="1" x14ac:dyDescent="0.3">
      <c r="A1462" s="3">
        <v>0</v>
      </c>
    </row>
    <row r="1463" spans="1:1" ht="15.75" thickBot="1" x14ac:dyDescent="0.3">
      <c r="A1463" s="3">
        <v>1</v>
      </c>
    </row>
    <row r="1464" spans="1:1" x14ac:dyDescent="0.25">
      <c r="A1464" s="4" t="s">
        <v>734</v>
      </c>
    </row>
    <row r="1465" spans="1:1" ht="15.75" thickBot="1" x14ac:dyDescent="0.3">
      <c r="A1465" s="1" t="s">
        <v>735</v>
      </c>
    </row>
    <row r="1466" spans="1:1" ht="15.75" thickBot="1" x14ac:dyDescent="0.3">
      <c r="A1466" s="2">
        <v>0</v>
      </c>
    </row>
    <row r="1467" spans="1:1" ht="15.75" thickBot="1" x14ac:dyDescent="0.3">
      <c r="A1467" t="s">
        <v>736</v>
      </c>
    </row>
    <row r="1468" spans="1:1" ht="15.75" thickBot="1" x14ac:dyDescent="0.3">
      <c r="A1468" s="3">
        <v>0</v>
      </c>
    </row>
    <row r="1469" spans="1:1" ht="15.75" thickBot="1" x14ac:dyDescent="0.3">
      <c r="A1469" s="3">
        <v>1</v>
      </c>
    </row>
    <row r="1470" spans="1:1" x14ac:dyDescent="0.25">
      <c r="A1470" s="4" t="s">
        <v>737</v>
      </c>
    </row>
    <row r="1471" spans="1:1" ht="15.75" thickBot="1" x14ac:dyDescent="0.3">
      <c r="A1471" s="1" t="s">
        <v>738</v>
      </c>
    </row>
    <row r="1472" spans="1:1" ht="15.75" thickBot="1" x14ac:dyDescent="0.3">
      <c r="A1472" s="2">
        <v>0</v>
      </c>
    </row>
    <row r="1473" spans="1:1" ht="15.75" thickBot="1" x14ac:dyDescent="0.3">
      <c r="A1473" t="s">
        <v>739</v>
      </c>
    </row>
    <row r="1474" spans="1:1" ht="15.75" thickBot="1" x14ac:dyDescent="0.3">
      <c r="A1474" s="3">
        <v>0</v>
      </c>
    </row>
    <row r="1475" spans="1:1" ht="15.75" thickBot="1" x14ac:dyDescent="0.3">
      <c r="A1475" s="3">
        <v>1</v>
      </c>
    </row>
    <row r="1476" spans="1:1" x14ac:dyDescent="0.25">
      <c r="A1476" s="4" t="s">
        <v>740</v>
      </c>
    </row>
    <row r="1477" spans="1:1" ht="15.75" thickBot="1" x14ac:dyDescent="0.3">
      <c r="A1477" s="1" t="s">
        <v>741</v>
      </c>
    </row>
    <row r="1478" spans="1:1" ht="15.75" thickBot="1" x14ac:dyDescent="0.3">
      <c r="A1478" s="2">
        <v>0</v>
      </c>
    </row>
    <row r="1479" spans="1:1" ht="15.75" thickBot="1" x14ac:dyDescent="0.3">
      <c r="A1479" t="s">
        <v>742</v>
      </c>
    </row>
    <row r="1480" spans="1:1" ht="15.75" thickBot="1" x14ac:dyDescent="0.3">
      <c r="A1480" s="3">
        <v>0</v>
      </c>
    </row>
    <row r="1481" spans="1:1" ht="15.75" thickBot="1" x14ac:dyDescent="0.3">
      <c r="A1481" s="3">
        <v>1</v>
      </c>
    </row>
    <row r="1482" spans="1:1" x14ac:dyDescent="0.25">
      <c r="A1482" s="4" t="s">
        <v>743</v>
      </c>
    </row>
    <row r="1483" spans="1:1" ht="15.75" thickBot="1" x14ac:dyDescent="0.3">
      <c r="A1483" t="s">
        <v>744</v>
      </c>
    </row>
    <row r="1484" spans="1:1" ht="15.75" thickBot="1" x14ac:dyDescent="0.3">
      <c r="A1484" s="2">
        <v>0</v>
      </c>
    </row>
    <row r="1485" spans="1:1" ht="15.75" thickBot="1" x14ac:dyDescent="0.3">
      <c r="A1485" t="s">
        <v>745</v>
      </c>
    </row>
    <row r="1486" spans="1:1" ht="15.75" thickBot="1" x14ac:dyDescent="0.3">
      <c r="A1486" s="3">
        <v>0</v>
      </c>
    </row>
    <row r="1487" spans="1:1" ht="15.75" thickBot="1" x14ac:dyDescent="0.3">
      <c r="A1487" s="3">
        <v>1</v>
      </c>
    </row>
    <row r="1488" spans="1:1" x14ac:dyDescent="0.25">
      <c r="A1488" s="4" t="s">
        <v>746</v>
      </c>
    </row>
    <row r="1489" spans="1:1" ht="15.75" thickBot="1" x14ac:dyDescent="0.3">
      <c r="A1489" s="5" t="s">
        <v>747</v>
      </c>
    </row>
    <row r="1490" spans="1:1" ht="15.75" thickBot="1" x14ac:dyDescent="0.3">
      <c r="A1490" s="2">
        <v>0</v>
      </c>
    </row>
    <row r="1491" spans="1:1" ht="15.75" thickBot="1" x14ac:dyDescent="0.3">
      <c r="A1491" t="s">
        <v>748</v>
      </c>
    </row>
    <row r="1492" spans="1:1" ht="15.75" thickBot="1" x14ac:dyDescent="0.3">
      <c r="A1492" s="3">
        <v>0</v>
      </c>
    </row>
    <row r="1493" spans="1:1" ht="15.75" thickBot="1" x14ac:dyDescent="0.3">
      <c r="A1493" s="3">
        <v>1</v>
      </c>
    </row>
    <row r="1494" spans="1:1" x14ac:dyDescent="0.25">
      <c r="A1494" s="4" t="s">
        <v>749</v>
      </c>
    </row>
    <row r="1495" spans="1:1" ht="15.75" thickBot="1" x14ac:dyDescent="0.3">
      <c r="A1495" s="5" t="s">
        <v>750</v>
      </c>
    </row>
    <row r="1496" spans="1:1" ht="15.75" thickBot="1" x14ac:dyDescent="0.3">
      <c r="A1496" s="2">
        <v>0</v>
      </c>
    </row>
    <row r="1497" spans="1:1" ht="15.75" thickBot="1" x14ac:dyDescent="0.3">
      <c r="A1497" t="s">
        <v>751</v>
      </c>
    </row>
    <row r="1498" spans="1:1" ht="15.75" thickBot="1" x14ac:dyDescent="0.3">
      <c r="A1498" s="3">
        <v>0</v>
      </c>
    </row>
    <row r="1499" spans="1:1" ht="15.75" thickBot="1" x14ac:dyDescent="0.3">
      <c r="A1499" s="3">
        <v>1</v>
      </c>
    </row>
    <row r="1500" spans="1:1" x14ac:dyDescent="0.25">
      <c r="A1500" s="4" t="s">
        <v>752</v>
      </c>
    </row>
    <row r="1501" spans="1:1" ht="15.75" thickBot="1" x14ac:dyDescent="0.3">
      <c r="A1501" t="s">
        <v>753</v>
      </c>
    </row>
    <row r="1502" spans="1:1" ht="15.75" thickBot="1" x14ac:dyDescent="0.3">
      <c r="A1502" s="2">
        <v>0</v>
      </c>
    </row>
    <row r="1503" spans="1:1" ht="15.75" thickBot="1" x14ac:dyDescent="0.3">
      <c r="A1503" t="s">
        <v>754</v>
      </c>
    </row>
    <row r="1504" spans="1:1" ht="15.75" thickBot="1" x14ac:dyDescent="0.3">
      <c r="A1504" s="3">
        <v>0</v>
      </c>
    </row>
    <row r="1505" spans="1:1" ht="15.75" thickBot="1" x14ac:dyDescent="0.3">
      <c r="A1505" s="3">
        <v>1</v>
      </c>
    </row>
    <row r="1506" spans="1:1" x14ac:dyDescent="0.25">
      <c r="A1506" s="4" t="s">
        <v>755</v>
      </c>
    </row>
    <row r="1507" spans="1:1" ht="15.75" thickBot="1" x14ac:dyDescent="0.3">
      <c r="A1507" s="1" t="s">
        <v>756</v>
      </c>
    </row>
    <row r="1508" spans="1:1" ht="15.75" thickBot="1" x14ac:dyDescent="0.3">
      <c r="A1508" s="2">
        <v>0</v>
      </c>
    </row>
    <row r="1509" spans="1:1" ht="15.75" thickBot="1" x14ac:dyDescent="0.3">
      <c r="A1509" t="s">
        <v>757</v>
      </c>
    </row>
    <row r="1510" spans="1:1" ht="15.75" thickBot="1" x14ac:dyDescent="0.3">
      <c r="A1510" s="3">
        <v>0</v>
      </c>
    </row>
    <row r="1511" spans="1:1" ht="15.75" thickBot="1" x14ac:dyDescent="0.3">
      <c r="A1511" s="3">
        <v>1</v>
      </c>
    </row>
    <row r="1512" spans="1:1" x14ac:dyDescent="0.25">
      <c r="A1512" s="4" t="s">
        <v>758</v>
      </c>
    </row>
    <row r="1513" spans="1:1" ht="15.75" thickBot="1" x14ac:dyDescent="0.3">
      <c r="A1513" s="1" t="s">
        <v>759</v>
      </c>
    </row>
    <row r="1514" spans="1:1" ht="15.75" thickBot="1" x14ac:dyDescent="0.3">
      <c r="A1514" s="2">
        <v>0</v>
      </c>
    </row>
    <row r="1515" spans="1:1" ht="15.75" thickBot="1" x14ac:dyDescent="0.3">
      <c r="A1515" t="s">
        <v>760</v>
      </c>
    </row>
    <row r="1516" spans="1:1" ht="15.75" thickBot="1" x14ac:dyDescent="0.3">
      <c r="A1516" s="3">
        <v>0</v>
      </c>
    </row>
    <row r="1517" spans="1:1" ht="15.75" thickBot="1" x14ac:dyDescent="0.3">
      <c r="A1517" s="3">
        <v>1</v>
      </c>
    </row>
    <row r="1518" spans="1:1" x14ac:dyDescent="0.25">
      <c r="A1518" s="4" t="s">
        <v>761</v>
      </c>
    </row>
    <row r="1519" spans="1:1" ht="15.75" thickBot="1" x14ac:dyDescent="0.3">
      <c r="A1519" s="1" t="s">
        <v>762</v>
      </c>
    </row>
    <row r="1520" spans="1:1" ht="15.75" thickBot="1" x14ac:dyDescent="0.3">
      <c r="A1520" s="2">
        <v>0</v>
      </c>
    </row>
    <row r="1521" spans="1:1" ht="15.75" thickBot="1" x14ac:dyDescent="0.3">
      <c r="A1521" t="s">
        <v>763</v>
      </c>
    </row>
    <row r="1522" spans="1:1" ht="15.75" thickBot="1" x14ac:dyDescent="0.3">
      <c r="A1522" s="3">
        <v>0</v>
      </c>
    </row>
    <row r="1523" spans="1:1" ht="15.75" thickBot="1" x14ac:dyDescent="0.3">
      <c r="A1523" s="3">
        <v>1</v>
      </c>
    </row>
    <row r="1524" spans="1:1" x14ac:dyDescent="0.25">
      <c r="A1524" s="4" t="s">
        <v>764</v>
      </c>
    </row>
    <row r="1525" spans="1:1" ht="15.75" thickBot="1" x14ac:dyDescent="0.3">
      <c r="A1525" s="1" t="s">
        <v>765</v>
      </c>
    </row>
    <row r="1526" spans="1:1" ht="15.75" thickBot="1" x14ac:dyDescent="0.3">
      <c r="A1526" s="2">
        <v>0</v>
      </c>
    </row>
    <row r="1527" spans="1:1" ht="15.75" thickBot="1" x14ac:dyDescent="0.3">
      <c r="A1527" t="s">
        <v>766</v>
      </c>
    </row>
    <row r="1528" spans="1:1" ht="15.75" thickBot="1" x14ac:dyDescent="0.3">
      <c r="A1528" s="3">
        <v>0</v>
      </c>
    </row>
    <row r="1529" spans="1:1" ht="15.75" thickBot="1" x14ac:dyDescent="0.3">
      <c r="A1529" s="3">
        <v>1</v>
      </c>
    </row>
    <row r="1530" spans="1:1" x14ac:dyDescent="0.25">
      <c r="A1530" s="4" t="s">
        <v>767</v>
      </c>
    </row>
    <row r="1531" spans="1:1" ht="15.75" thickBot="1" x14ac:dyDescent="0.3">
      <c r="A1531" s="5" t="s">
        <v>768</v>
      </c>
    </row>
    <row r="1532" spans="1:1" ht="15.75" thickBot="1" x14ac:dyDescent="0.3">
      <c r="A1532" s="2">
        <v>0</v>
      </c>
    </row>
    <row r="1533" spans="1:1" ht="15.75" thickBot="1" x14ac:dyDescent="0.3">
      <c r="A1533" t="s">
        <v>769</v>
      </c>
    </row>
    <row r="1534" spans="1:1" ht="15.75" thickBot="1" x14ac:dyDescent="0.3">
      <c r="A1534" s="3">
        <v>0</v>
      </c>
    </row>
    <row r="1535" spans="1:1" ht="15.75" thickBot="1" x14ac:dyDescent="0.3">
      <c r="A1535" s="3">
        <v>1</v>
      </c>
    </row>
    <row r="1536" spans="1:1" x14ac:dyDescent="0.25">
      <c r="A1536" s="4" t="s">
        <v>770</v>
      </c>
    </row>
    <row r="1537" spans="1:1" ht="15.75" thickBot="1" x14ac:dyDescent="0.3">
      <c r="A1537" s="1" t="s">
        <v>771</v>
      </c>
    </row>
    <row r="1538" spans="1:1" ht="15.75" thickBot="1" x14ac:dyDescent="0.3">
      <c r="A1538" s="2">
        <v>0</v>
      </c>
    </row>
    <row r="1539" spans="1:1" ht="15.75" thickBot="1" x14ac:dyDescent="0.3">
      <c r="A1539" t="s">
        <v>772</v>
      </c>
    </row>
    <row r="1540" spans="1:1" ht="15.75" thickBot="1" x14ac:dyDescent="0.3">
      <c r="A1540" s="3">
        <v>0</v>
      </c>
    </row>
    <row r="1541" spans="1:1" ht="15.75" thickBot="1" x14ac:dyDescent="0.3">
      <c r="A1541" s="3">
        <v>1</v>
      </c>
    </row>
    <row r="1542" spans="1:1" x14ac:dyDescent="0.25">
      <c r="A1542" s="4" t="s">
        <v>773</v>
      </c>
    </row>
    <row r="1543" spans="1:1" ht="15.75" thickBot="1" x14ac:dyDescent="0.3">
      <c r="A1543" s="5" t="s">
        <v>774</v>
      </c>
    </row>
    <row r="1544" spans="1:1" ht="15.75" thickBot="1" x14ac:dyDescent="0.3">
      <c r="A1544" s="2">
        <v>0</v>
      </c>
    </row>
    <row r="1545" spans="1:1" ht="15.75" thickBot="1" x14ac:dyDescent="0.3">
      <c r="A1545" t="s">
        <v>775</v>
      </c>
    </row>
    <row r="1546" spans="1:1" ht="15.75" thickBot="1" x14ac:dyDescent="0.3">
      <c r="A1546" s="3">
        <v>0</v>
      </c>
    </row>
    <row r="1547" spans="1:1" ht="15.75" thickBot="1" x14ac:dyDescent="0.3">
      <c r="A1547" s="3">
        <v>1</v>
      </c>
    </row>
    <row r="1548" spans="1:1" x14ac:dyDescent="0.25">
      <c r="A1548" s="4" t="s">
        <v>776</v>
      </c>
    </row>
    <row r="1549" spans="1:1" ht="15.75" thickBot="1" x14ac:dyDescent="0.3">
      <c r="A1549" t="s">
        <v>777</v>
      </c>
    </row>
    <row r="1550" spans="1:1" ht="15.75" thickBot="1" x14ac:dyDescent="0.3">
      <c r="A1550" s="2">
        <v>0</v>
      </c>
    </row>
    <row r="1551" spans="1:1" ht="15.75" thickBot="1" x14ac:dyDescent="0.3">
      <c r="A1551" t="s">
        <v>778</v>
      </c>
    </row>
    <row r="1552" spans="1:1" ht="15.75" thickBot="1" x14ac:dyDescent="0.3">
      <c r="A1552" s="3">
        <v>0</v>
      </c>
    </row>
    <row r="1553" spans="1:1" ht="15.75" thickBot="1" x14ac:dyDescent="0.3">
      <c r="A1553" s="3">
        <v>1</v>
      </c>
    </row>
    <row r="1554" spans="1:1" x14ac:dyDescent="0.25">
      <c r="A1554" s="4" t="s">
        <v>779</v>
      </c>
    </row>
    <row r="1555" spans="1:1" ht="15.75" thickBot="1" x14ac:dyDescent="0.3">
      <c r="A1555" s="1" t="s">
        <v>780</v>
      </c>
    </row>
    <row r="1556" spans="1:1" ht="15.75" thickBot="1" x14ac:dyDescent="0.3">
      <c r="A1556" s="2">
        <v>0</v>
      </c>
    </row>
    <row r="1557" spans="1:1" ht="15.75" thickBot="1" x14ac:dyDescent="0.3">
      <c r="A1557" t="s">
        <v>781</v>
      </c>
    </row>
    <row r="1558" spans="1:1" ht="15.75" thickBot="1" x14ac:dyDescent="0.3">
      <c r="A1558" s="3">
        <v>0</v>
      </c>
    </row>
    <row r="1559" spans="1:1" ht="15.75" thickBot="1" x14ac:dyDescent="0.3">
      <c r="A1559" s="3">
        <v>1</v>
      </c>
    </row>
    <row r="1560" spans="1:1" x14ac:dyDescent="0.25">
      <c r="A1560" s="4" t="s">
        <v>782</v>
      </c>
    </row>
    <row r="1561" spans="1:1" ht="15.75" thickBot="1" x14ac:dyDescent="0.3">
      <c r="A1561" s="5" t="s">
        <v>783</v>
      </c>
    </row>
    <row r="1562" spans="1:1" ht="15.75" thickBot="1" x14ac:dyDescent="0.3">
      <c r="A1562" s="2">
        <v>0</v>
      </c>
    </row>
    <row r="1563" spans="1:1" ht="15.75" thickBot="1" x14ac:dyDescent="0.3">
      <c r="A1563" t="s">
        <v>784</v>
      </c>
    </row>
    <row r="1564" spans="1:1" ht="15.75" thickBot="1" x14ac:dyDescent="0.3">
      <c r="A1564" s="3">
        <v>0</v>
      </c>
    </row>
    <row r="1565" spans="1:1" ht="15.75" thickBot="1" x14ac:dyDescent="0.3">
      <c r="A1565" s="3">
        <v>1</v>
      </c>
    </row>
    <row r="1566" spans="1:1" x14ac:dyDescent="0.25">
      <c r="A1566" s="4" t="s">
        <v>785</v>
      </c>
    </row>
    <row r="1567" spans="1:1" ht="15.75" thickBot="1" x14ac:dyDescent="0.3">
      <c r="A1567" s="1" t="s">
        <v>786</v>
      </c>
    </row>
    <row r="1568" spans="1:1" ht="15.75" thickBot="1" x14ac:dyDescent="0.3">
      <c r="A1568" s="2">
        <v>0</v>
      </c>
    </row>
    <row r="1569" spans="1:1" ht="15.75" thickBot="1" x14ac:dyDescent="0.3">
      <c r="A1569" t="s">
        <v>787</v>
      </c>
    </row>
    <row r="1570" spans="1:1" ht="15.75" thickBot="1" x14ac:dyDescent="0.3">
      <c r="A1570" s="3">
        <v>0</v>
      </c>
    </row>
    <row r="1571" spans="1:1" ht="15.75" thickBot="1" x14ac:dyDescent="0.3">
      <c r="A1571" s="3">
        <v>1</v>
      </c>
    </row>
    <row r="1572" spans="1:1" x14ac:dyDescent="0.25">
      <c r="A1572" s="4" t="s">
        <v>788</v>
      </c>
    </row>
    <row r="1573" spans="1:1" ht="15.75" thickBot="1" x14ac:dyDescent="0.3">
      <c r="A1573" s="5" t="s">
        <v>789</v>
      </c>
    </row>
    <row r="1574" spans="1:1" ht="15.75" thickBot="1" x14ac:dyDescent="0.3">
      <c r="A1574" s="2">
        <v>0</v>
      </c>
    </row>
    <row r="1575" spans="1:1" ht="15.75" thickBot="1" x14ac:dyDescent="0.3">
      <c r="A1575" t="s">
        <v>790</v>
      </c>
    </row>
    <row r="1576" spans="1:1" ht="15.75" thickBot="1" x14ac:dyDescent="0.3">
      <c r="A1576" s="3">
        <v>0</v>
      </c>
    </row>
    <row r="1577" spans="1:1" ht="15.75" thickBot="1" x14ac:dyDescent="0.3">
      <c r="A1577" s="3">
        <v>1</v>
      </c>
    </row>
    <row r="1578" spans="1:1" x14ac:dyDescent="0.25">
      <c r="A1578" s="4" t="s">
        <v>791</v>
      </c>
    </row>
    <row r="1579" spans="1:1" ht="15.75" thickBot="1" x14ac:dyDescent="0.3">
      <c r="A1579" t="s">
        <v>792</v>
      </c>
    </row>
    <row r="1580" spans="1:1" ht="15.75" thickBot="1" x14ac:dyDescent="0.3">
      <c r="A1580" s="2">
        <v>0</v>
      </c>
    </row>
    <row r="1581" spans="1:1" ht="15.75" thickBot="1" x14ac:dyDescent="0.3">
      <c r="A1581" t="s">
        <v>793</v>
      </c>
    </row>
    <row r="1582" spans="1:1" ht="15.75" thickBot="1" x14ac:dyDescent="0.3">
      <c r="A1582" s="3">
        <v>0</v>
      </c>
    </row>
    <row r="1583" spans="1:1" ht="15.75" thickBot="1" x14ac:dyDescent="0.3">
      <c r="A1583" s="3">
        <v>1</v>
      </c>
    </row>
    <row r="1584" spans="1:1" x14ac:dyDescent="0.25">
      <c r="A1584" s="4" t="s">
        <v>794</v>
      </c>
    </row>
    <row r="1585" spans="1:1" ht="15.75" thickBot="1" x14ac:dyDescent="0.3">
      <c r="A1585" s="5" t="s">
        <v>795</v>
      </c>
    </row>
    <row r="1586" spans="1:1" ht="15.75" thickBot="1" x14ac:dyDescent="0.3">
      <c r="A1586" s="2">
        <v>0</v>
      </c>
    </row>
    <row r="1587" spans="1:1" ht="15.75" thickBot="1" x14ac:dyDescent="0.3">
      <c r="A1587" t="s">
        <v>796</v>
      </c>
    </row>
    <row r="1588" spans="1:1" ht="15.75" thickBot="1" x14ac:dyDescent="0.3">
      <c r="A1588" s="3">
        <v>0</v>
      </c>
    </row>
    <row r="1589" spans="1:1" ht="15.75" thickBot="1" x14ac:dyDescent="0.3">
      <c r="A1589" s="3">
        <v>1</v>
      </c>
    </row>
    <row r="1590" spans="1:1" x14ac:dyDescent="0.25">
      <c r="A1590" s="4" t="s">
        <v>797</v>
      </c>
    </row>
    <row r="1591" spans="1:1" ht="15.75" thickBot="1" x14ac:dyDescent="0.3">
      <c r="A1591" t="s">
        <v>798</v>
      </c>
    </row>
    <row r="1592" spans="1:1" ht="15.75" thickBot="1" x14ac:dyDescent="0.3">
      <c r="A1592" s="2">
        <v>0</v>
      </c>
    </row>
    <row r="1593" spans="1:1" ht="15.75" thickBot="1" x14ac:dyDescent="0.3">
      <c r="A1593" t="s">
        <v>799</v>
      </c>
    </row>
    <row r="1594" spans="1:1" ht="15.75" thickBot="1" x14ac:dyDescent="0.3">
      <c r="A1594" s="3">
        <v>0</v>
      </c>
    </row>
    <row r="1595" spans="1:1" ht="15.75" thickBot="1" x14ac:dyDescent="0.3">
      <c r="A1595" s="3">
        <v>1</v>
      </c>
    </row>
    <row r="1596" spans="1:1" x14ac:dyDescent="0.25">
      <c r="A1596" s="4" t="s">
        <v>800</v>
      </c>
    </row>
    <row r="1597" spans="1:1" ht="15.75" thickBot="1" x14ac:dyDescent="0.3">
      <c r="A1597" t="s">
        <v>801</v>
      </c>
    </row>
    <row r="1598" spans="1:1" ht="15.75" thickBot="1" x14ac:dyDescent="0.3">
      <c r="A1598" s="2">
        <v>0</v>
      </c>
    </row>
    <row r="1599" spans="1:1" ht="15.75" thickBot="1" x14ac:dyDescent="0.3">
      <c r="A1599" t="s">
        <v>802</v>
      </c>
    </row>
    <row r="1600" spans="1:1" ht="15.75" thickBot="1" x14ac:dyDescent="0.3">
      <c r="A1600" s="3">
        <v>0</v>
      </c>
    </row>
    <row r="1601" spans="1:1" ht="15.75" thickBot="1" x14ac:dyDescent="0.3">
      <c r="A1601" s="3">
        <v>1</v>
      </c>
    </row>
    <row r="1602" spans="1:1" x14ac:dyDescent="0.25">
      <c r="A1602" s="4" t="s">
        <v>803</v>
      </c>
    </row>
    <row r="1603" spans="1:1" ht="15.75" thickBot="1" x14ac:dyDescent="0.3">
      <c r="A1603" s="1" t="s">
        <v>804</v>
      </c>
    </row>
    <row r="1604" spans="1:1" ht="15.75" thickBot="1" x14ac:dyDescent="0.3">
      <c r="A1604" s="2">
        <v>0</v>
      </c>
    </row>
    <row r="1605" spans="1:1" ht="15.75" thickBot="1" x14ac:dyDescent="0.3">
      <c r="A1605" t="s">
        <v>805</v>
      </c>
    </row>
    <row r="1606" spans="1:1" ht="15.75" thickBot="1" x14ac:dyDescent="0.3">
      <c r="A1606" s="3">
        <v>0</v>
      </c>
    </row>
    <row r="1607" spans="1:1" ht="15.75" thickBot="1" x14ac:dyDescent="0.3">
      <c r="A1607" s="3">
        <v>1</v>
      </c>
    </row>
    <row r="1608" spans="1:1" x14ac:dyDescent="0.25">
      <c r="A1608" s="4" t="s">
        <v>806</v>
      </c>
    </row>
    <row r="1609" spans="1:1" ht="15.75" thickBot="1" x14ac:dyDescent="0.3">
      <c r="A1609" t="s">
        <v>807</v>
      </c>
    </row>
    <row r="1610" spans="1:1" ht="15.75" thickBot="1" x14ac:dyDescent="0.3">
      <c r="A1610" s="2">
        <v>0</v>
      </c>
    </row>
    <row r="1611" spans="1:1" ht="15.75" thickBot="1" x14ac:dyDescent="0.3">
      <c r="A1611" t="s">
        <v>808</v>
      </c>
    </row>
    <row r="1612" spans="1:1" ht="15.75" thickBot="1" x14ac:dyDescent="0.3">
      <c r="A1612" s="3">
        <v>0</v>
      </c>
    </row>
    <row r="1613" spans="1:1" ht="15.75" thickBot="1" x14ac:dyDescent="0.3">
      <c r="A1613" s="3">
        <v>1</v>
      </c>
    </row>
    <row r="1614" spans="1:1" x14ac:dyDescent="0.25">
      <c r="A1614" s="4" t="s">
        <v>809</v>
      </c>
    </row>
    <row r="1615" spans="1:1" ht="15.75" thickBot="1" x14ac:dyDescent="0.3">
      <c r="A1615" t="s">
        <v>810</v>
      </c>
    </row>
    <row r="1616" spans="1:1" ht="15.75" thickBot="1" x14ac:dyDescent="0.3">
      <c r="A1616" s="2">
        <v>0</v>
      </c>
    </row>
    <row r="1617" spans="1:1" ht="15.75" thickBot="1" x14ac:dyDescent="0.3">
      <c r="A1617" t="s">
        <v>811</v>
      </c>
    </row>
    <row r="1618" spans="1:1" ht="15.75" thickBot="1" x14ac:dyDescent="0.3">
      <c r="A1618" s="3">
        <v>0</v>
      </c>
    </row>
    <row r="1619" spans="1:1" ht="15.75" thickBot="1" x14ac:dyDescent="0.3">
      <c r="A1619" s="3">
        <v>1</v>
      </c>
    </row>
    <row r="1620" spans="1:1" x14ac:dyDescent="0.25">
      <c r="A1620" s="4" t="s">
        <v>812</v>
      </c>
    </row>
    <row r="1621" spans="1:1" ht="15.75" thickBot="1" x14ac:dyDescent="0.3">
      <c r="A1621" s="1" t="s">
        <v>813</v>
      </c>
    </row>
    <row r="1622" spans="1:1" ht="15.75" thickBot="1" x14ac:dyDescent="0.3">
      <c r="A1622" s="2">
        <v>0</v>
      </c>
    </row>
    <row r="1623" spans="1:1" ht="15.75" thickBot="1" x14ac:dyDescent="0.3">
      <c r="A1623" t="s">
        <v>814</v>
      </c>
    </row>
    <row r="1624" spans="1:1" ht="15.75" thickBot="1" x14ac:dyDescent="0.3">
      <c r="A1624" s="3">
        <v>0</v>
      </c>
    </row>
    <row r="1625" spans="1:1" ht="15.75" thickBot="1" x14ac:dyDescent="0.3">
      <c r="A1625" s="3">
        <v>1</v>
      </c>
    </row>
    <row r="1626" spans="1:1" x14ac:dyDescent="0.25">
      <c r="A1626" s="4" t="s">
        <v>815</v>
      </c>
    </row>
    <row r="1627" spans="1:1" ht="15.75" thickBot="1" x14ac:dyDescent="0.3">
      <c r="A1627" t="s">
        <v>816</v>
      </c>
    </row>
    <row r="1628" spans="1:1" ht="15.75" thickBot="1" x14ac:dyDescent="0.3">
      <c r="A1628" s="2">
        <v>0</v>
      </c>
    </row>
    <row r="1629" spans="1:1" ht="15.75" thickBot="1" x14ac:dyDescent="0.3">
      <c r="A1629" t="s">
        <v>817</v>
      </c>
    </row>
    <row r="1630" spans="1:1" ht="15.75" thickBot="1" x14ac:dyDescent="0.3">
      <c r="A1630" s="3">
        <v>0</v>
      </c>
    </row>
    <row r="1631" spans="1:1" ht="15.75" thickBot="1" x14ac:dyDescent="0.3">
      <c r="A1631" s="3">
        <v>1</v>
      </c>
    </row>
    <row r="1632" spans="1:1" x14ac:dyDescent="0.25">
      <c r="A1632" s="4" t="s">
        <v>818</v>
      </c>
    </row>
    <row r="1633" spans="1:1" ht="15.75" thickBot="1" x14ac:dyDescent="0.3">
      <c r="A1633" t="s">
        <v>819</v>
      </c>
    </row>
    <row r="1634" spans="1:1" ht="15.75" thickBot="1" x14ac:dyDescent="0.3">
      <c r="A1634" s="2">
        <v>0</v>
      </c>
    </row>
    <row r="1635" spans="1:1" ht="15.75" thickBot="1" x14ac:dyDescent="0.3">
      <c r="A1635" t="s">
        <v>820</v>
      </c>
    </row>
    <row r="1636" spans="1:1" ht="15.75" thickBot="1" x14ac:dyDescent="0.3">
      <c r="A1636" s="3">
        <v>0</v>
      </c>
    </row>
    <row r="1637" spans="1:1" ht="15.75" thickBot="1" x14ac:dyDescent="0.3">
      <c r="A1637" s="3">
        <v>1</v>
      </c>
    </row>
    <row r="1638" spans="1:1" x14ac:dyDescent="0.25">
      <c r="A1638" s="4" t="s">
        <v>821</v>
      </c>
    </row>
    <row r="1639" spans="1:1" ht="15.75" thickBot="1" x14ac:dyDescent="0.3">
      <c r="A1639" t="s">
        <v>822</v>
      </c>
    </row>
    <row r="1640" spans="1:1" ht="15.75" thickBot="1" x14ac:dyDescent="0.3">
      <c r="A1640" s="2">
        <v>0</v>
      </c>
    </row>
    <row r="1641" spans="1:1" ht="15.75" thickBot="1" x14ac:dyDescent="0.3">
      <c r="A1641" t="s">
        <v>823</v>
      </c>
    </row>
    <row r="1642" spans="1:1" ht="15.75" thickBot="1" x14ac:dyDescent="0.3">
      <c r="A1642" s="3">
        <v>0</v>
      </c>
    </row>
    <row r="1643" spans="1:1" ht="15.75" thickBot="1" x14ac:dyDescent="0.3">
      <c r="A1643" s="3">
        <v>1</v>
      </c>
    </row>
    <row r="1644" spans="1:1" x14ac:dyDescent="0.25">
      <c r="A1644" s="4" t="s">
        <v>824</v>
      </c>
    </row>
    <row r="1645" spans="1:1" ht="15.75" thickBot="1" x14ac:dyDescent="0.3">
      <c r="A1645" s="5" t="s">
        <v>825</v>
      </c>
    </row>
    <row r="1646" spans="1:1" ht="15.75" thickBot="1" x14ac:dyDescent="0.3">
      <c r="A1646" s="2">
        <v>0</v>
      </c>
    </row>
    <row r="1647" spans="1:1" ht="15.75" thickBot="1" x14ac:dyDescent="0.3">
      <c r="A1647" t="s">
        <v>826</v>
      </c>
    </row>
    <row r="1648" spans="1:1" ht="15.75" thickBot="1" x14ac:dyDescent="0.3">
      <c r="A1648" s="3">
        <v>0</v>
      </c>
    </row>
    <row r="1649" spans="1:1" ht="15.75" thickBot="1" x14ac:dyDescent="0.3">
      <c r="A1649" s="3">
        <v>1</v>
      </c>
    </row>
    <row r="1650" spans="1:1" x14ac:dyDescent="0.25">
      <c r="A1650" s="4" t="s">
        <v>827</v>
      </c>
    </row>
    <row r="1651" spans="1:1" ht="15.75" thickBot="1" x14ac:dyDescent="0.3">
      <c r="A1651" s="5" t="s">
        <v>828</v>
      </c>
    </row>
    <row r="1652" spans="1:1" ht="15.75" thickBot="1" x14ac:dyDescent="0.3">
      <c r="A1652" s="2">
        <v>0</v>
      </c>
    </row>
    <row r="1653" spans="1:1" ht="15.75" thickBot="1" x14ac:dyDescent="0.3">
      <c r="A1653" t="s">
        <v>829</v>
      </c>
    </row>
    <row r="1654" spans="1:1" ht="15.75" thickBot="1" x14ac:dyDescent="0.3">
      <c r="A1654" s="3">
        <v>0</v>
      </c>
    </row>
    <row r="1655" spans="1:1" ht="15.75" thickBot="1" x14ac:dyDescent="0.3">
      <c r="A1655" s="3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C691A-0F35-4562-812D-181EFB9CC296}">
  <sheetPr codeName="Sheet3"/>
  <dimension ref="A1:I275"/>
  <sheetViews>
    <sheetView topLeftCell="B1" workbookViewId="0">
      <selection activeCell="E6" sqref="E6"/>
    </sheetView>
  </sheetViews>
  <sheetFormatPr defaultRowHeight="15" x14ac:dyDescent="0.25"/>
  <cols>
    <col min="1" max="1" width="55.85546875" bestFit="1" customWidth="1"/>
    <col min="2" max="2" width="88" bestFit="1" customWidth="1"/>
    <col min="3" max="3" width="66.5703125" bestFit="1" customWidth="1"/>
    <col min="4" max="4" width="24.5703125" bestFit="1" customWidth="1"/>
  </cols>
  <sheetData>
    <row r="1" spans="1:9" x14ac:dyDescent="0.25">
      <c r="A1" t="s">
        <v>5</v>
      </c>
      <c r="B1" t="s">
        <v>1104</v>
      </c>
      <c r="C1" t="str">
        <f>TRIM(RIGHT(B1,LEN(B1)-FIND("MAX. EXP",B1)-7))</f>
        <v>Lamar Jackson BAL - QB@NYJ Sun 1:00PM--744.526QB 124.2</v>
      </c>
      <c r="D1" t="str">
        <f>TRIM(LEFT(C1,FIND(" - ",C1) - 4))</f>
        <v>Lamar Jackson </v>
      </c>
      <c r="E1" t="str">
        <f>MID(C1,FIND(" - ",C1)+3,3)</f>
        <v>QB@</v>
      </c>
      <c r="F1" t="str" cm="1">
        <f t="array" ref="F1">_xlfn.IFS(E1="DEF","DEF",TRUE,LEFT(E1,2))</f>
        <v>QB</v>
      </c>
      <c r="G1">
        <f>COUNTIFS(F$1:F1,F1)</f>
        <v>1</v>
      </c>
      <c r="H1" t="str">
        <f>F1&amp;" "&amp;G1</f>
        <v>QB 1</v>
      </c>
      <c r="I1" t="str">
        <f>RIGHT(C1,LEN(C1)-FIND(H1,C1)-LEN(H1)+1)</f>
        <v>24.2</v>
      </c>
    </row>
    <row r="2" spans="1:9" x14ac:dyDescent="0.25">
      <c r="A2" s="4" t="s">
        <v>8</v>
      </c>
      <c r="B2" t="s">
        <v>830</v>
      </c>
      <c r="C2" t="str">
        <f>B2</f>
        <v>Josh Allen BUF - QB@LAR Thu 8:20PM--2.552.527.5QB 223.6</v>
      </c>
      <c r="D2" t="str">
        <f t="shared" ref="D2:D65" si="0">TRIM(LEFT(C2,FIND(" - ",C2) - 4))</f>
        <v>Josh Allen </v>
      </c>
      <c r="E2" t="str">
        <f t="shared" ref="E2:E65" si="1">MID(C2,FIND(" - ",C2)+3,3)</f>
        <v>QB@</v>
      </c>
      <c r="F2" t="str" cm="1">
        <f t="array" ref="F2">_xlfn.IFS(E2="DEF","DEF",TRUE,LEFT(E2,2))</f>
        <v>QB</v>
      </c>
      <c r="G2">
        <f>COUNTIFS(F$1:F2,F2)</f>
        <v>2</v>
      </c>
      <c r="H2" t="str">
        <f t="shared" ref="H2:H65" si="2">F2&amp;" "&amp;G2</f>
        <v>QB 2</v>
      </c>
      <c r="I2" t="str">
        <f t="shared" ref="I2:I65" si="3">RIGHT(C2,LEN(C2)-FIND(H2,C2)-LEN(H2)+1)</f>
        <v>23.6</v>
      </c>
    </row>
    <row r="3" spans="1:9" x14ac:dyDescent="0.25">
      <c r="A3" s="4" t="s">
        <v>11</v>
      </c>
      <c r="B3" t="s">
        <v>831</v>
      </c>
      <c r="C3" t="str">
        <f t="shared" ref="C3:C66" si="4">B3</f>
        <v>Jonathan Taylor IND - RB@HOU Sun 1:00PM--84627RB 123.2</v>
      </c>
      <c r="D3" t="str">
        <f t="shared" si="0"/>
        <v>Jonathan Taylor </v>
      </c>
      <c r="E3" t="str">
        <f t="shared" si="1"/>
        <v>RB@</v>
      </c>
      <c r="F3" t="str" cm="1">
        <f t="array" ref="F3">_xlfn.IFS(E3="DEF","DEF",TRUE,LEFT(E3,2))</f>
        <v>RB</v>
      </c>
      <c r="G3">
        <f>COUNTIFS(F$1:F3,F3)</f>
        <v>1</v>
      </c>
      <c r="H3" t="str">
        <f t="shared" si="2"/>
        <v>RB 1</v>
      </c>
      <c r="I3" t="str">
        <f t="shared" si="3"/>
        <v>23.2</v>
      </c>
    </row>
    <row r="4" spans="1:9" x14ac:dyDescent="0.25">
      <c r="A4" s="4" t="s">
        <v>14</v>
      </c>
      <c r="B4" t="s">
        <v>832</v>
      </c>
      <c r="C4" t="str">
        <f t="shared" si="4"/>
        <v>Justin Herbert LAC - QBLV Sun 4:25PM--3.552.528QB 323.1</v>
      </c>
      <c r="D4" t="str">
        <f t="shared" si="0"/>
        <v>Justin Herbert </v>
      </c>
      <c r="E4" t="str">
        <f t="shared" si="1"/>
        <v>QBL</v>
      </c>
      <c r="F4" t="str" cm="1">
        <f t="array" ref="F4">_xlfn.IFS(E4="DEF","DEF",TRUE,LEFT(E4,2))</f>
        <v>QB</v>
      </c>
      <c r="G4">
        <f>COUNTIFS(F$1:F4,F4)</f>
        <v>3</v>
      </c>
      <c r="H4" t="str">
        <f t="shared" si="2"/>
        <v>QB 3</v>
      </c>
      <c r="I4" t="str">
        <f t="shared" si="3"/>
        <v>23.1</v>
      </c>
    </row>
    <row r="5" spans="1:9" x14ac:dyDescent="0.25">
      <c r="A5" s="4" t="s">
        <v>17</v>
      </c>
      <c r="B5" t="s">
        <v>833</v>
      </c>
      <c r="C5" t="str">
        <f t="shared" si="4"/>
        <v>Jalen Hurts PHI - QB@DET Sun 1:00PM--448.526.5QB 422.6</v>
      </c>
      <c r="D5" t="str">
        <f t="shared" si="0"/>
        <v>Jalen Hurts </v>
      </c>
      <c r="E5" t="str">
        <f t="shared" si="1"/>
        <v>QB@</v>
      </c>
      <c r="F5" t="str" cm="1">
        <f t="array" ref="F5">_xlfn.IFS(E5="DEF","DEF",TRUE,LEFT(E5,2))</f>
        <v>QB</v>
      </c>
      <c r="G5">
        <f>COUNTIFS(F$1:F5,F5)</f>
        <v>4</v>
      </c>
      <c r="H5" t="str">
        <f t="shared" si="2"/>
        <v>QB 4</v>
      </c>
      <c r="I5" t="str">
        <f t="shared" si="3"/>
        <v>22.6</v>
      </c>
    </row>
    <row r="6" spans="1:9" x14ac:dyDescent="0.25">
      <c r="A6" s="4" t="s">
        <v>20</v>
      </c>
      <c r="B6" t="s">
        <v>834</v>
      </c>
      <c r="C6" t="str">
        <f t="shared" si="4"/>
        <v>Patrick Mahomes II KC - QB@ARI Sun 4:25PM--4.553.529QB 522.2</v>
      </c>
      <c r="D6" t="str">
        <f t="shared" si="0"/>
        <v>Patrick Mahomes II</v>
      </c>
      <c r="E6" t="str">
        <f t="shared" si="1"/>
        <v>QB@</v>
      </c>
      <c r="F6" t="str" cm="1">
        <f t="array" ref="F6">_xlfn.IFS(E6="DEF","DEF",TRUE,LEFT(E6,2))</f>
        <v>QB</v>
      </c>
      <c r="G6">
        <f>COUNTIFS(F$1:F6,F6)</f>
        <v>5</v>
      </c>
      <c r="H6" t="str">
        <f t="shared" si="2"/>
        <v>QB 5</v>
      </c>
      <c r="I6" t="str">
        <f t="shared" si="3"/>
        <v>22.2</v>
      </c>
    </row>
    <row r="7" spans="1:9" x14ac:dyDescent="0.25">
      <c r="A7" s="4" t="s">
        <v>23</v>
      </c>
      <c r="B7" t="s">
        <v>835</v>
      </c>
      <c r="C7" t="str">
        <f t="shared" si="4"/>
        <v>Kyler Murray ARI - QBKC Sun 4:25PM-453.525QB 622.1</v>
      </c>
      <c r="D7" t="str">
        <f t="shared" si="0"/>
        <v>Kyler Murray </v>
      </c>
      <c r="E7" t="str">
        <f t="shared" si="1"/>
        <v>QBK</v>
      </c>
      <c r="F7" t="str" cm="1">
        <f t="array" ref="F7">_xlfn.IFS(E7="DEF","DEF",TRUE,LEFT(E7,2))</f>
        <v>QB</v>
      </c>
      <c r="G7">
        <f>COUNTIFS(F$1:F7,F7)</f>
        <v>6</v>
      </c>
      <c r="H7" t="str">
        <f t="shared" si="2"/>
        <v>QB 6</v>
      </c>
      <c r="I7" t="str">
        <f t="shared" si="3"/>
        <v>22.1</v>
      </c>
    </row>
    <row r="8" spans="1:9" x14ac:dyDescent="0.25">
      <c r="A8" s="4" t="s">
        <v>26</v>
      </c>
      <c r="B8" t="s">
        <v>836</v>
      </c>
      <c r="C8" t="str">
        <f t="shared" si="4"/>
        <v>Russell Wilson DEN - QB@SEA Mon 8:15PM--6.54325QB 720.8</v>
      </c>
      <c r="D8" t="str">
        <f t="shared" si="0"/>
        <v>Russell Wilson </v>
      </c>
      <c r="E8" t="str">
        <f t="shared" si="1"/>
        <v>QB@</v>
      </c>
      <c r="F8" t="str" cm="1">
        <f t="array" ref="F8">_xlfn.IFS(E8="DEF","DEF",TRUE,LEFT(E8,2))</f>
        <v>QB</v>
      </c>
      <c r="G8">
        <f>COUNTIFS(F$1:F8,F8)</f>
        <v>7</v>
      </c>
      <c r="H8" t="str">
        <f t="shared" si="2"/>
        <v>QB 7</v>
      </c>
      <c r="I8" t="str">
        <f t="shared" si="3"/>
        <v>20.8</v>
      </c>
    </row>
    <row r="9" spans="1:9" x14ac:dyDescent="0.25">
      <c r="A9" s="4" t="s">
        <v>29</v>
      </c>
      <c r="B9" t="s">
        <v>837</v>
      </c>
      <c r="C9" t="str">
        <f t="shared" si="4"/>
        <v>Christian McCaffrey CAR - RBCLE Sun 1:00PM--2.541.522RB 220.8</v>
      </c>
      <c r="D9" t="str">
        <f t="shared" si="0"/>
        <v>Christian McCaffrey </v>
      </c>
      <c r="E9" t="str">
        <f t="shared" si="1"/>
        <v>RBC</v>
      </c>
      <c r="F9" t="str" cm="1">
        <f t="array" ref="F9">_xlfn.IFS(E9="DEF","DEF",TRUE,LEFT(E9,2))</f>
        <v>RB</v>
      </c>
      <c r="G9">
        <f>COUNTIFS(F$1:F9,F9)</f>
        <v>2</v>
      </c>
      <c r="H9" t="str">
        <f t="shared" si="2"/>
        <v>RB 2</v>
      </c>
      <c r="I9" t="str">
        <f t="shared" si="3"/>
        <v>20.8</v>
      </c>
    </row>
    <row r="10" spans="1:9" x14ac:dyDescent="0.25">
      <c r="A10" s="4" t="s">
        <v>32</v>
      </c>
      <c r="B10" t="s">
        <v>838</v>
      </c>
      <c r="C10" t="str">
        <f t="shared" si="4"/>
        <v>Tom Brady TB - QB@DAL Sun 8:20PM--1.55026QB 819.9</v>
      </c>
      <c r="D10" t="str">
        <f t="shared" si="0"/>
        <v>Tom Brady</v>
      </c>
      <c r="E10" t="str">
        <f t="shared" si="1"/>
        <v>QB@</v>
      </c>
      <c r="F10" t="str" cm="1">
        <f t="array" ref="F10">_xlfn.IFS(E10="DEF","DEF",TRUE,LEFT(E10,2))</f>
        <v>QB</v>
      </c>
      <c r="G10">
        <f>COUNTIFS(F$1:F10,F10)</f>
        <v>8</v>
      </c>
      <c r="H10" t="str">
        <f t="shared" si="2"/>
        <v>QB 8</v>
      </c>
      <c r="I10" t="str">
        <f t="shared" si="3"/>
        <v>19.9</v>
      </c>
    </row>
    <row r="11" spans="1:9" x14ac:dyDescent="0.25">
      <c r="A11" s="4" t="s">
        <v>35</v>
      </c>
      <c r="B11" t="s">
        <v>839</v>
      </c>
      <c r="C11" t="str">
        <f t="shared" si="4"/>
        <v>Joe Burrow CIN - QBPIT Sun 1:00PM--6.544.525.5QB 919.9</v>
      </c>
      <c r="D11" t="str">
        <f t="shared" si="0"/>
        <v>Joe Burrow </v>
      </c>
      <c r="E11" t="str">
        <f t="shared" si="1"/>
        <v>QBP</v>
      </c>
      <c r="F11" t="str" cm="1">
        <f t="array" ref="F11">_xlfn.IFS(E11="DEF","DEF",TRUE,LEFT(E11,2))</f>
        <v>QB</v>
      </c>
      <c r="G11">
        <f>COUNTIFS(F$1:F11,F11)</f>
        <v>9</v>
      </c>
      <c r="H11" t="str">
        <f t="shared" si="2"/>
        <v>QB 9</v>
      </c>
      <c r="I11" t="str">
        <f t="shared" si="3"/>
        <v>19.9</v>
      </c>
    </row>
    <row r="12" spans="1:9" x14ac:dyDescent="0.25">
      <c r="A12" s="4" t="s">
        <v>38</v>
      </c>
      <c r="B12" t="s">
        <v>840</v>
      </c>
      <c r="C12" t="str">
        <f t="shared" si="4"/>
        <v>Trey Lance SF - QB@CHI Sun 1:00PM--74124QB 1019.7</v>
      </c>
      <c r="D12" t="str">
        <f t="shared" si="0"/>
        <v>Trey Lance</v>
      </c>
      <c r="E12" t="str">
        <f t="shared" si="1"/>
        <v>QB@</v>
      </c>
      <c r="F12" t="str" cm="1">
        <f t="array" ref="F12">_xlfn.IFS(E12="DEF","DEF",TRUE,LEFT(E12,2))</f>
        <v>QB</v>
      </c>
      <c r="G12">
        <f>COUNTIFS(F$1:F12,F12)</f>
        <v>10</v>
      </c>
      <c r="H12" t="str">
        <f t="shared" si="2"/>
        <v>QB 10</v>
      </c>
      <c r="I12" t="str">
        <f t="shared" si="3"/>
        <v>19.7</v>
      </c>
    </row>
    <row r="13" spans="1:9" x14ac:dyDescent="0.25">
      <c r="A13" s="4" t="s">
        <v>41</v>
      </c>
      <c r="B13" t="s">
        <v>841</v>
      </c>
      <c r="C13" t="str">
        <f t="shared" si="4"/>
        <v>Aaron Rodgers GB - QB@MIN Sun 4:25PM--1.54825QB 1119.6</v>
      </c>
      <c r="D13" t="str">
        <f t="shared" si="0"/>
        <v>Aaron Rodgers</v>
      </c>
      <c r="E13" t="str">
        <f t="shared" si="1"/>
        <v>QB@</v>
      </c>
      <c r="F13" t="str" cm="1">
        <f t="array" ref="F13">_xlfn.IFS(E13="DEF","DEF",TRUE,LEFT(E13,2))</f>
        <v>QB</v>
      </c>
      <c r="G13">
        <f>COUNTIFS(F$1:F13,F13)</f>
        <v>11</v>
      </c>
      <c r="H13" t="str">
        <f t="shared" si="2"/>
        <v>QB 11</v>
      </c>
      <c r="I13" t="str">
        <f t="shared" si="3"/>
        <v>19.6</v>
      </c>
    </row>
    <row r="14" spans="1:9" x14ac:dyDescent="0.25">
      <c r="A14" s="4" t="s">
        <v>44</v>
      </c>
      <c r="B14" t="s">
        <v>842</v>
      </c>
      <c r="C14" t="str">
        <f t="shared" si="4"/>
        <v>Dak Prescott DAL - QBTB Sun 8:20PM-1.55024.5QB 1219.1</v>
      </c>
      <c r="D14" t="str">
        <f t="shared" si="0"/>
        <v>Dak Prescott </v>
      </c>
      <c r="E14" t="str">
        <f t="shared" si="1"/>
        <v>QBT</v>
      </c>
      <c r="F14" t="str" cm="1">
        <f t="array" ref="F14">_xlfn.IFS(E14="DEF","DEF",TRUE,LEFT(E14,2))</f>
        <v>QB</v>
      </c>
      <c r="G14">
        <f>COUNTIFS(F$1:F14,F14)</f>
        <v>12</v>
      </c>
      <c r="H14" t="str">
        <f t="shared" si="2"/>
        <v>QB 12</v>
      </c>
      <c r="I14" t="str">
        <f t="shared" si="3"/>
        <v>19.1</v>
      </c>
    </row>
    <row r="15" spans="1:9" x14ac:dyDescent="0.25">
      <c r="A15" s="4" t="s">
        <v>47</v>
      </c>
      <c r="B15" t="s">
        <v>843</v>
      </c>
      <c r="C15" t="str">
        <f t="shared" si="4"/>
        <v>Derek Carr LV - QB@LAC Sun 4:25PM-3.552.524.5QB 1318.7</v>
      </c>
      <c r="D15" t="str">
        <f t="shared" si="0"/>
        <v>Derek Carr</v>
      </c>
      <c r="E15" t="str">
        <f t="shared" si="1"/>
        <v>QB@</v>
      </c>
      <c r="F15" t="str" cm="1">
        <f t="array" ref="F15">_xlfn.IFS(E15="DEF","DEF",TRUE,LEFT(E15,2))</f>
        <v>QB</v>
      </c>
      <c r="G15">
        <f>COUNTIFS(F$1:F15,F15)</f>
        <v>13</v>
      </c>
      <c r="H15" t="str">
        <f t="shared" si="2"/>
        <v>QB 13</v>
      </c>
      <c r="I15" t="str">
        <f t="shared" si="3"/>
        <v>18.7</v>
      </c>
    </row>
    <row r="16" spans="1:9" x14ac:dyDescent="0.25">
      <c r="A16" s="4" t="s">
        <v>50</v>
      </c>
      <c r="B16" t="s">
        <v>844</v>
      </c>
      <c r="C16" t="str">
        <f t="shared" si="4"/>
        <v>Matthew Stafford LAR - QBBUF Thu 8:20PM-2.552.525QB 1418.5</v>
      </c>
      <c r="D16" t="str">
        <f t="shared" si="0"/>
        <v>Matthew Stafford </v>
      </c>
      <c r="E16" t="str">
        <f t="shared" si="1"/>
        <v>QBB</v>
      </c>
      <c r="F16" t="str" cm="1">
        <f t="array" ref="F16">_xlfn.IFS(E16="DEF","DEF",TRUE,LEFT(E16,2))</f>
        <v>QB</v>
      </c>
      <c r="G16">
        <f>COUNTIFS(F$1:F16,F16)</f>
        <v>14</v>
      </c>
      <c r="H16" t="str">
        <f t="shared" si="2"/>
        <v>QB 14</v>
      </c>
      <c r="I16" t="str">
        <f t="shared" si="3"/>
        <v>18.5</v>
      </c>
    </row>
    <row r="17" spans="1:9" x14ac:dyDescent="0.25">
      <c r="A17" s="4" t="s">
        <v>53</v>
      </c>
      <c r="B17" t="s">
        <v>845</v>
      </c>
      <c r="C17" t="str">
        <f t="shared" si="4"/>
        <v>Kirk Cousins MIN - QBGB Sun 4:25PM-1.54823.5QB 1518.2</v>
      </c>
      <c r="D17" t="str">
        <f t="shared" si="0"/>
        <v>Kirk Cousins </v>
      </c>
      <c r="E17" t="str">
        <f t="shared" si="1"/>
        <v>QBG</v>
      </c>
      <c r="F17" t="str" cm="1">
        <f t="array" ref="F17">_xlfn.IFS(E17="DEF","DEF",TRUE,LEFT(E17,2))</f>
        <v>QB</v>
      </c>
      <c r="G17">
        <f>COUNTIFS(F$1:F17,F17)</f>
        <v>15</v>
      </c>
      <c r="H17" t="str">
        <f t="shared" si="2"/>
        <v>QB 15</v>
      </c>
      <c r="I17" t="str">
        <f t="shared" si="3"/>
        <v>18.2</v>
      </c>
    </row>
    <row r="18" spans="1:9" x14ac:dyDescent="0.25">
      <c r="A18" s="4" t="s">
        <v>56</v>
      </c>
      <c r="B18" t="s">
        <v>846</v>
      </c>
      <c r="C18" t="str">
        <f t="shared" si="4"/>
        <v>Jameis Winston NO - QB@ATL Sun 1:00PM--5.542.524QB 1618.2</v>
      </c>
      <c r="D18" t="str">
        <f t="shared" si="0"/>
        <v>Jameis Winston</v>
      </c>
      <c r="E18" t="str">
        <f t="shared" si="1"/>
        <v>QB@</v>
      </c>
      <c r="F18" t="str" cm="1">
        <f t="array" ref="F18">_xlfn.IFS(E18="DEF","DEF",TRUE,LEFT(E18,2))</f>
        <v>QB</v>
      </c>
      <c r="G18">
        <f>COUNTIFS(F$1:F18,F18)</f>
        <v>16</v>
      </c>
      <c r="H18" t="str">
        <f t="shared" si="2"/>
        <v>QB 16</v>
      </c>
      <c r="I18" t="str">
        <f t="shared" si="3"/>
        <v>18.2</v>
      </c>
    </row>
    <row r="19" spans="1:9" x14ac:dyDescent="0.25">
      <c r="A19" s="4" t="s">
        <v>59</v>
      </c>
      <c r="B19" t="s">
        <v>847</v>
      </c>
      <c r="C19" t="str">
        <f t="shared" si="4"/>
        <v>Matt Ryan IND - QB@HOU Sun 1:00PM--84627QB 1718.0</v>
      </c>
      <c r="D19" t="str">
        <f t="shared" si="0"/>
        <v>Matt Ryan </v>
      </c>
      <c r="E19" t="str">
        <f t="shared" si="1"/>
        <v>QB@</v>
      </c>
      <c r="F19" t="str" cm="1">
        <f t="array" ref="F19">_xlfn.IFS(E19="DEF","DEF",TRUE,LEFT(E19,2))</f>
        <v>QB</v>
      </c>
      <c r="G19">
        <f>COUNTIFS(F$1:F19,F19)</f>
        <v>17</v>
      </c>
      <c r="H19" t="str">
        <f t="shared" si="2"/>
        <v>QB 17</v>
      </c>
      <c r="I19" t="str">
        <f t="shared" si="3"/>
        <v>18.0</v>
      </c>
    </row>
    <row r="20" spans="1:9" x14ac:dyDescent="0.25">
      <c r="A20" s="4" t="s">
        <v>62</v>
      </c>
      <c r="B20" t="s">
        <v>848</v>
      </c>
      <c r="C20" t="str">
        <f t="shared" si="4"/>
        <v>Derrick Henry TEN - RBNYG Sun 4:25PM--5.543.524.5RB 318.0</v>
      </c>
      <c r="D20" t="str">
        <f t="shared" si="0"/>
        <v>Derrick Henry </v>
      </c>
      <c r="E20" t="str">
        <f t="shared" si="1"/>
        <v>RBN</v>
      </c>
      <c r="F20" t="str" cm="1">
        <f t="array" ref="F20">_xlfn.IFS(E20="DEF","DEF",TRUE,LEFT(E20,2))</f>
        <v>RB</v>
      </c>
      <c r="G20">
        <f>COUNTIFS(F$1:F20,F20)</f>
        <v>3</v>
      </c>
      <c r="H20" t="str">
        <f t="shared" si="2"/>
        <v>RB 3</v>
      </c>
      <c r="I20" t="str">
        <f t="shared" si="3"/>
        <v>18.0</v>
      </c>
    </row>
    <row r="21" spans="1:9" x14ac:dyDescent="0.25">
      <c r="A21" s="4" t="s">
        <v>65</v>
      </c>
      <c r="B21" t="s">
        <v>849</v>
      </c>
      <c r="C21" t="str">
        <f t="shared" si="4"/>
        <v>Trevor Lawrence JAC - QB@WAS Sun 1:00PM-343.520.5QB 1818.0</v>
      </c>
      <c r="D21" t="str">
        <f t="shared" si="0"/>
        <v>Trevor Lawrence </v>
      </c>
      <c r="E21" t="str">
        <f t="shared" si="1"/>
        <v>QB@</v>
      </c>
      <c r="F21" t="str" cm="1">
        <f t="array" ref="F21">_xlfn.IFS(E21="DEF","DEF",TRUE,LEFT(E21,2))</f>
        <v>QB</v>
      </c>
      <c r="G21">
        <f>COUNTIFS(F$1:F21,F21)</f>
        <v>18</v>
      </c>
      <c r="H21" t="str">
        <f t="shared" si="2"/>
        <v>QB 18</v>
      </c>
      <c r="I21" t="str">
        <f t="shared" si="3"/>
        <v>18.0</v>
      </c>
    </row>
    <row r="22" spans="1:9" x14ac:dyDescent="0.25">
      <c r="A22" s="4" t="s">
        <v>68</v>
      </c>
      <c r="B22" t="s">
        <v>850</v>
      </c>
      <c r="C22" t="str">
        <f t="shared" si="4"/>
        <v>Austin Ekeler LAC - RBLV Sun 4:25PM--3.552.528RB 417.7</v>
      </c>
      <c r="D22" t="str">
        <f t="shared" si="0"/>
        <v>Austin Ekeler </v>
      </c>
      <c r="E22" t="str">
        <f t="shared" si="1"/>
        <v>RBL</v>
      </c>
      <c r="F22" t="str" cm="1">
        <f t="array" ref="F22">_xlfn.IFS(E22="DEF","DEF",TRUE,LEFT(E22,2))</f>
        <v>RB</v>
      </c>
      <c r="G22">
        <f>COUNTIFS(F$1:F22,F22)</f>
        <v>4</v>
      </c>
      <c r="H22" t="str">
        <f t="shared" si="2"/>
        <v>RB 4</v>
      </c>
      <c r="I22" t="str">
        <f t="shared" si="3"/>
        <v>17.7</v>
      </c>
    </row>
    <row r="23" spans="1:9" x14ac:dyDescent="0.25">
      <c r="A23" s="4" t="s">
        <v>71</v>
      </c>
      <c r="B23" t="s">
        <v>851</v>
      </c>
      <c r="C23" t="str">
        <f t="shared" si="4"/>
        <v>Justin Jefferson MIN - WRGB Sun 4:25PM-1.54823.5WR 117.5</v>
      </c>
      <c r="D23" t="str">
        <f t="shared" si="0"/>
        <v>Justin Jefferson </v>
      </c>
      <c r="E23" t="str">
        <f t="shared" si="1"/>
        <v>WRG</v>
      </c>
      <c r="F23" t="str" cm="1">
        <f t="array" ref="F23">_xlfn.IFS(E23="DEF","DEF",TRUE,LEFT(E23,2))</f>
        <v>WR</v>
      </c>
      <c r="G23">
        <f>COUNTIFS(F$1:F23,F23)</f>
        <v>1</v>
      </c>
      <c r="H23" t="str">
        <f t="shared" si="2"/>
        <v>WR 1</v>
      </c>
      <c r="I23" t="str">
        <f t="shared" si="3"/>
        <v>17.5</v>
      </c>
    </row>
    <row r="24" spans="1:9" x14ac:dyDescent="0.25">
      <c r="A24" s="4" t="s">
        <v>74</v>
      </c>
      <c r="B24" t="s">
        <v>852</v>
      </c>
      <c r="C24" t="str">
        <f t="shared" si="4"/>
        <v>Tua Tagovailoa MIA - QBNE Sun 1:00PM--346.525QB 1917.5</v>
      </c>
      <c r="D24" t="str">
        <f t="shared" si="0"/>
        <v>Tua Tagovailoa </v>
      </c>
      <c r="E24" t="str">
        <f t="shared" si="1"/>
        <v>QBN</v>
      </c>
      <c r="F24" t="str" cm="1">
        <f t="array" ref="F24">_xlfn.IFS(E24="DEF","DEF",TRUE,LEFT(E24,2))</f>
        <v>QB</v>
      </c>
      <c r="G24">
        <f>COUNTIFS(F$1:F24,F24)</f>
        <v>19</v>
      </c>
      <c r="H24" t="str">
        <f t="shared" si="2"/>
        <v>QB 19</v>
      </c>
      <c r="I24" t="str">
        <f t="shared" si="3"/>
        <v>17.5</v>
      </c>
    </row>
    <row r="25" spans="1:9" x14ac:dyDescent="0.25">
      <c r="A25" s="4" t="s">
        <v>77</v>
      </c>
      <c r="B25" t="s">
        <v>853</v>
      </c>
      <c r="C25" t="str">
        <f t="shared" si="4"/>
        <v>Justin Fields CHI - QBSF Sun 1:00PM-74117QB 2017.5</v>
      </c>
      <c r="D25" t="str">
        <f t="shared" si="0"/>
        <v>Justin Fields </v>
      </c>
      <c r="E25" t="str">
        <f t="shared" si="1"/>
        <v>QBS</v>
      </c>
      <c r="F25" t="str" cm="1">
        <f t="array" ref="F25">_xlfn.IFS(E25="DEF","DEF",TRUE,LEFT(E25,2))</f>
        <v>QB</v>
      </c>
      <c r="G25">
        <f>COUNTIFS(F$1:F25,F25)</f>
        <v>20</v>
      </c>
      <c r="H25" t="str">
        <f t="shared" si="2"/>
        <v>QB 20</v>
      </c>
      <c r="I25" t="str">
        <f t="shared" si="3"/>
        <v>17.5</v>
      </c>
    </row>
    <row r="26" spans="1:9" x14ac:dyDescent="0.25">
      <c r="A26" s="4" t="s">
        <v>80</v>
      </c>
      <c r="B26" t="s">
        <v>854</v>
      </c>
      <c r="C26" t="str">
        <f t="shared" si="4"/>
        <v>Ryan Tannehill TEN - QBNYG Sun 4:25PM--5.543.524.5QB 2117.4</v>
      </c>
      <c r="D26" t="str">
        <f t="shared" si="0"/>
        <v>Ryan Tannehill </v>
      </c>
      <c r="E26" t="str">
        <f t="shared" si="1"/>
        <v>QBN</v>
      </c>
      <c r="F26" t="str" cm="1">
        <f t="array" ref="F26">_xlfn.IFS(E26="DEF","DEF",TRUE,LEFT(E26,2))</f>
        <v>QB</v>
      </c>
      <c r="G26">
        <f>COUNTIFS(F$1:F26,F26)</f>
        <v>21</v>
      </c>
      <c r="H26" t="str">
        <f t="shared" si="2"/>
        <v>QB 21</v>
      </c>
      <c r="I26" t="str">
        <f t="shared" si="3"/>
        <v>17.4</v>
      </c>
    </row>
    <row r="27" spans="1:9" x14ac:dyDescent="0.25">
      <c r="A27" s="4" t="s">
        <v>83</v>
      </c>
      <c r="B27" t="s">
        <v>855</v>
      </c>
      <c r="C27" t="str">
        <f t="shared" si="4"/>
        <v>Carson Wentz WAS - QBJAC Sun 1:00PM--343.523.5QB 2217.0</v>
      </c>
      <c r="D27" t="str">
        <f t="shared" si="0"/>
        <v>Carson Wentz </v>
      </c>
      <c r="E27" t="str">
        <f t="shared" si="1"/>
        <v>QBJ</v>
      </c>
      <c r="F27" t="str" cm="1">
        <f t="array" ref="F27">_xlfn.IFS(E27="DEF","DEF",TRUE,LEFT(E27,2))</f>
        <v>QB</v>
      </c>
      <c r="G27">
        <f>COUNTIFS(F$1:F27,F27)</f>
        <v>22</v>
      </c>
      <c r="H27" t="str">
        <f t="shared" si="2"/>
        <v>QB 22</v>
      </c>
      <c r="I27" t="str">
        <f t="shared" si="3"/>
        <v>17.0</v>
      </c>
    </row>
    <row r="28" spans="1:9" x14ac:dyDescent="0.25">
      <c r="A28" s="4" t="s">
        <v>86</v>
      </c>
      <c r="B28" t="s">
        <v>856</v>
      </c>
      <c r="C28" t="str">
        <f t="shared" si="4"/>
        <v>Daniel Jones NYG - QB@TEN Sun 4:25PM-5.543.519QB 2317.0</v>
      </c>
      <c r="D28" t="str">
        <f t="shared" si="0"/>
        <v>Daniel Jones </v>
      </c>
      <c r="E28" t="str">
        <f t="shared" si="1"/>
        <v>QB@</v>
      </c>
      <c r="F28" t="str" cm="1">
        <f t="array" ref="F28">_xlfn.IFS(E28="DEF","DEF",TRUE,LEFT(E28,2))</f>
        <v>QB</v>
      </c>
      <c r="G28">
        <f>COUNTIFS(F$1:F28,F28)</f>
        <v>23</v>
      </c>
      <c r="H28" t="str">
        <f t="shared" si="2"/>
        <v>QB 23</v>
      </c>
      <c r="I28" t="str">
        <f t="shared" si="3"/>
        <v>17.0</v>
      </c>
    </row>
    <row r="29" spans="1:9" x14ac:dyDescent="0.25">
      <c r="A29" s="4" t="s">
        <v>89</v>
      </c>
      <c r="B29" t="s">
        <v>857</v>
      </c>
      <c r="C29" t="str">
        <f t="shared" si="4"/>
        <v>Jared Goff DET - QBPHI Sun 1:00PM-448.522.5QB 2416.9</v>
      </c>
      <c r="D29" t="str">
        <f t="shared" si="0"/>
        <v>Jared Goff </v>
      </c>
      <c r="E29" t="str">
        <f t="shared" si="1"/>
        <v>QBP</v>
      </c>
      <c r="F29" t="str" cm="1">
        <f t="array" ref="F29">_xlfn.IFS(E29="DEF","DEF",TRUE,LEFT(E29,2))</f>
        <v>QB</v>
      </c>
      <c r="G29">
        <f>COUNTIFS(F$1:F29,F29)</f>
        <v>24</v>
      </c>
      <c r="H29" t="str">
        <f t="shared" si="2"/>
        <v>QB 24</v>
      </c>
      <c r="I29" t="str">
        <f t="shared" si="3"/>
        <v>16.9</v>
      </c>
    </row>
    <row r="30" spans="1:9" x14ac:dyDescent="0.25">
      <c r="A30" s="4" t="s">
        <v>92</v>
      </c>
      <c r="B30" t="s">
        <v>858</v>
      </c>
      <c r="C30" t="str">
        <f t="shared" si="4"/>
        <v>Mac Jones NE - QB@MIA Sun 1:00PM-346.522QB 2516.3</v>
      </c>
      <c r="D30" t="str">
        <f t="shared" si="0"/>
        <v>Mac Jones</v>
      </c>
      <c r="E30" t="str">
        <f t="shared" si="1"/>
        <v>QB@</v>
      </c>
      <c r="F30" t="str" cm="1">
        <f t="array" ref="F30">_xlfn.IFS(E30="DEF","DEF",TRUE,LEFT(E30,2))</f>
        <v>QB</v>
      </c>
      <c r="G30">
        <f>COUNTIFS(F$1:F30,F30)</f>
        <v>25</v>
      </c>
      <c r="H30" t="str">
        <f t="shared" si="2"/>
        <v>QB 25</v>
      </c>
      <c r="I30" t="str">
        <f t="shared" si="3"/>
        <v>16.3</v>
      </c>
    </row>
    <row r="31" spans="1:9" x14ac:dyDescent="0.25">
      <c r="A31" s="4" t="s">
        <v>95</v>
      </c>
      <c r="B31" t="s">
        <v>859</v>
      </c>
      <c r="C31" t="str">
        <f t="shared" si="4"/>
        <v>Baker Mayfield CAR - QBCLE Sun 1:00PM--2.541.522QB 2616.3</v>
      </c>
      <c r="D31" t="str">
        <f t="shared" si="0"/>
        <v>Baker Mayfield </v>
      </c>
      <c r="E31" t="str">
        <f t="shared" si="1"/>
        <v>QBC</v>
      </c>
      <c r="F31" t="str" cm="1">
        <f t="array" ref="F31">_xlfn.IFS(E31="DEF","DEF",TRUE,LEFT(E31,2))</f>
        <v>QB</v>
      </c>
      <c r="G31">
        <f>COUNTIFS(F$1:F31,F31)</f>
        <v>26</v>
      </c>
      <c r="H31" t="str">
        <f t="shared" si="2"/>
        <v>QB 26</v>
      </c>
      <c r="I31" t="str">
        <f t="shared" si="3"/>
        <v>16.3</v>
      </c>
    </row>
    <row r="32" spans="1:9" x14ac:dyDescent="0.25">
      <c r="A32" s="4" t="s">
        <v>98</v>
      </c>
      <c r="B32" t="s">
        <v>860</v>
      </c>
      <c r="C32" t="str">
        <f t="shared" si="4"/>
        <v>Joe Mixon CIN - RBPIT Sun 1:00PM--6.544.525.5RB 516.3</v>
      </c>
      <c r="D32" t="str">
        <f t="shared" si="0"/>
        <v>Joe Mixon </v>
      </c>
      <c r="E32" t="str">
        <f t="shared" si="1"/>
        <v>RBP</v>
      </c>
      <c r="F32" t="str" cm="1">
        <f t="array" ref="F32">_xlfn.IFS(E32="DEF","DEF",TRUE,LEFT(E32,2))</f>
        <v>RB</v>
      </c>
      <c r="G32">
        <f>COUNTIFS(F$1:F32,F32)</f>
        <v>5</v>
      </c>
      <c r="H32" t="str">
        <f t="shared" si="2"/>
        <v>RB 5</v>
      </c>
      <c r="I32" t="str">
        <f t="shared" si="3"/>
        <v>16.3</v>
      </c>
    </row>
    <row r="33" spans="1:9" x14ac:dyDescent="0.25">
      <c r="A33" s="4" t="s">
        <v>101</v>
      </c>
      <c r="B33" t="s">
        <v>861</v>
      </c>
      <c r="C33" t="str">
        <f t="shared" si="4"/>
        <v>Dalvin Cook MIN - RBGB Sun 4:25PM-1.54823.5RB 616.3</v>
      </c>
      <c r="D33" t="str">
        <f t="shared" si="0"/>
        <v>Dalvin Cook </v>
      </c>
      <c r="E33" t="str">
        <f t="shared" si="1"/>
        <v>RBG</v>
      </c>
      <c r="F33" t="str" cm="1">
        <f t="array" ref="F33">_xlfn.IFS(E33="DEF","DEF",TRUE,LEFT(E33,2))</f>
        <v>RB</v>
      </c>
      <c r="G33">
        <f>COUNTIFS(F$1:F33,F33)</f>
        <v>6</v>
      </c>
      <c r="H33" t="str">
        <f t="shared" si="2"/>
        <v>RB 6</v>
      </c>
      <c r="I33" t="str">
        <f t="shared" si="3"/>
        <v>16.3</v>
      </c>
    </row>
    <row r="34" spans="1:9" x14ac:dyDescent="0.25">
      <c r="A34" s="4" t="s">
        <v>104</v>
      </c>
      <c r="B34" t="s">
        <v>862</v>
      </c>
      <c r="C34" t="str">
        <f t="shared" si="4"/>
        <v>Davis Mills HOU - QBIND Sun 1:00PM-84619QB 2715.9</v>
      </c>
      <c r="D34" t="str">
        <f t="shared" si="0"/>
        <v>Davis Mills </v>
      </c>
      <c r="E34" t="str">
        <f t="shared" si="1"/>
        <v>QBI</v>
      </c>
      <c r="F34" t="str" cm="1">
        <f t="array" ref="F34">_xlfn.IFS(E34="DEF","DEF",TRUE,LEFT(E34,2))</f>
        <v>QB</v>
      </c>
      <c r="G34">
        <f>COUNTIFS(F$1:F34,F34)</f>
        <v>27</v>
      </c>
      <c r="H34" t="str">
        <f t="shared" si="2"/>
        <v>QB 27</v>
      </c>
      <c r="I34" t="str">
        <f t="shared" si="3"/>
        <v>15.9</v>
      </c>
    </row>
    <row r="35" spans="1:9" x14ac:dyDescent="0.25">
      <c r="A35" s="4" t="s">
        <v>107</v>
      </c>
      <c r="B35" t="s">
        <v>863</v>
      </c>
      <c r="C35" t="str">
        <f t="shared" si="4"/>
        <v>Marcus Mariota ATL - QBNO Sun 1:00PM-5.542.518.5QB 2815.8</v>
      </c>
      <c r="D35" t="str">
        <f t="shared" si="0"/>
        <v>Marcus Mariota </v>
      </c>
      <c r="E35" t="str">
        <f t="shared" si="1"/>
        <v>QBN</v>
      </c>
      <c r="F35" t="str" cm="1">
        <f t="array" ref="F35">_xlfn.IFS(E35="DEF","DEF",TRUE,LEFT(E35,2))</f>
        <v>QB</v>
      </c>
      <c r="G35">
        <f>COUNTIFS(F$1:F35,F35)</f>
        <v>28</v>
      </c>
      <c r="H35" t="str">
        <f t="shared" si="2"/>
        <v>QB 28</v>
      </c>
      <c r="I35" t="str">
        <f t="shared" si="3"/>
        <v>15.8</v>
      </c>
    </row>
    <row r="36" spans="1:9" x14ac:dyDescent="0.25">
      <c r="A36" s="4" t="s">
        <v>110</v>
      </c>
      <c r="B36" t="s">
        <v>864</v>
      </c>
      <c r="C36" t="str">
        <f t="shared" si="4"/>
        <v>Cooper Kupp LAR - WRBUF Thu 8:20PM-2.552.525WR 215.6</v>
      </c>
      <c r="D36" t="str">
        <f t="shared" si="0"/>
        <v>Cooper Kupp </v>
      </c>
      <c r="E36" t="str">
        <f t="shared" si="1"/>
        <v>WRB</v>
      </c>
      <c r="F36" t="str" cm="1">
        <f t="array" ref="F36">_xlfn.IFS(E36="DEF","DEF",TRUE,LEFT(E36,2))</f>
        <v>WR</v>
      </c>
      <c r="G36">
        <f>COUNTIFS(F$1:F36,F36)</f>
        <v>2</v>
      </c>
      <c r="H36" t="str">
        <f t="shared" si="2"/>
        <v>WR 2</v>
      </c>
      <c r="I36" t="str">
        <f t="shared" si="3"/>
        <v>15.6</v>
      </c>
    </row>
    <row r="37" spans="1:9" x14ac:dyDescent="0.25">
      <c r="A37" s="4" t="s">
        <v>113</v>
      </c>
      <c r="B37" t="s">
        <v>865</v>
      </c>
      <c r="C37" t="str">
        <f t="shared" si="4"/>
        <v>Mitch Trubisky PIT - QB@CIN Sun 1:00PM-6.544.519QB 2915.5</v>
      </c>
      <c r="D37" t="str">
        <f t="shared" si="0"/>
        <v>Mitch Trubisky </v>
      </c>
      <c r="E37" t="str">
        <f t="shared" si="1"/>
        <v>QB@</v>
      </c>
      <c r="F37" t="str" cm="1">
        <f t="array" ref="F37">_xlfn.IFS(E37="DEF","DEF",TRUE,LEFT(E37,2))</f>
        <v>QB</v>
      </c>
      <c r="G37">
        <f>COUNTIFS(F$1:F37,F37)</f>
        <v>29</v>
      </c>
      <c r="H37" t="str">
        <f t="shared" si="2"/>
        <v>QB 29</v>
      </c>
      <c r="I37" t="str">
        <f t="shared" si="3"/>
        <v>15.5</v>
      </c>
    </row>
    <row r="38" spans="1:9" x14ac:dyDescent="0.25">
      <c r="A38" s="4" t="s">
        <v>116</v>
      </c>
      <c r="B38" t="s">
        <v>866</v>
      </c>
      <c r="C38" t="str">
        <f t="shared" si="4"/>
        <v>Ja'Marr Chase CIN - WRPIT Sun 1:00PM--6.544.525.5WR 315.1</v>
      </c>
      <c r="D38" t="str">
        <f t="shared" si="0"/>
        <v>Ja'Marr Chase </v>
      </c>
      <c r="E38" t="str">
        <f t="shared" si="1"/>
        <v>WRP</v>
      </c>
      <c r="F38" t="str" cm="1">
        <f t="array" ref="F38">_xlfn.IFS(E38="DEF","DEF",TRUE,LEFT(E38,2))</f>
        <v>WR</v>
      </c>
      <c r="G38">
        <f>COUNTIFS(F$1:F38,F38)</f>
        <v>3</v>
      </c>
      <c r="H38" t="str">
        <f t="shared" si="2"/>
        <v>WR 3</v>
      </c>
      <c r="I38" t="str">
        <f t="shared" si="3"/>
        <v>15.1</v>
      </c>
    </row>
    <row r="39" spans="1:9" x14ac:dyDescent="0.25">
      <c r="A39" s="4" t="s">
        <v>119</v>
      </c>
      <c r="B39" t="s">
        <v>867</v>
      </c>
      <c r="C39" t="str">
        <f t="shared" si="4"/>
        <v>Alvin Kamara NO - RB@ATL Sun 1:00PM--5.542.524RB 715.1</v>
      </c>
      <c r="D39" t="str">
        <f t="shared" si="0"/>
        <v>Alvin Kamara</v>
      </c>
      <c r="E39" t="str">
        <f t="shared" si="1"/>
        <v>RB@</v>
      </c>
      <c r="F39" t="str" cm="1">
        <f t="array" ref="F39">_xlfn.IFS(E39="DEF","DEF",TRUE,LEFT(E39,2))</f>
        <v>RB</v>
      </c>
      <c r="G39">
        <f>COUNTIFS(F$1:F39,F39)</f>
        <v>7</v>
      </c>
      <c r="H39" t="str">
        <f t="shared" si="2"/>
        <v>RB 7</v>
      </c>
      <c r="I39" t="str">
        <f t="shared" si="3"/>
        <v>15.1</v>
      </c>
    </row>
    <row r="40" spans="1:9" x14ac:dyDescent="0.25">
      <c r="A40" s="4" t="s">
        <v>122</v>
      </c>
      <c r="B40" t="s">
        <v>868</v>
      </c>
      <c r="C40" t="str">
        <f t="shared" si="4"/>
        <v>Najee Harris PIT - RB@CIN Sun 1:00PM-6.544.519RB 815.1</v>
      </c>
      <c r="D40" t="str">
        <f t="shared" si="0"/>
        <v>Najee Harris </v>
      </c>
      <c r="E40" t="str">
        <f t="shared" si="1"/>
        <v>RB@</v>
      </c>
      <c r="F40" t="str" cm="1">
        <f t="array" ref="F40">_xlfn.IFS(E40="DEF","DEF",TRUE,LEFT(E40,2))</f>
        <v>RB</v>
      </c>
      <c r="G40">
        <f>COUNTIFS(F$1:F40,F40)</f>
        <v>8</v>
      </c>
      <c r="H40" t="str">
        <f t="shared" si="2"/>
        <v>RB 8</v>
      </c>
      <c r="I40" t="str">
        <f t="shared" si="3"/>
        <v>15.1</v>
      </c>
    </row>
    <row r="41" spans="1:9" x14ac:dyDescent="0.25">
      <c r="A41" s="4" t="s">
        <v>125</v>
      </c>
      <c r="B41" t="s">
        <v>869</v>
      </c>
      <c r="C41" t="str">
        <f t="shared" si="4"/>
        <v>Jacoby Brissett CLE - QB@CAR Sun 1:00PM-2.541.519.5QB 3015.1</v>
      </c>
      <c r="D41" t="str">
        <f t="shared" si="0"/>
        <v>Jacoby Brissett </v>
      </c>
      <c r="E41" t="str">
        <f t="shared" si="1"/>
        <v>QB@</v>
      </c>
      <c r="F41" t="str" cm="1">
        <f t="array" ref="F41">_xlfn.IFS(E41="DEF","DEF",TRUE,LEFT(E41,2))</f>
        <v>QB</v>
      </c>
      <c r="G41">
        <f>COUNTIFS(F$1:F41,F41)</f>
        <v>30</v>
      </c>
      <c r="H41" t="str">
        <f t="shared" si="2"/>
        <v>QB 30</v>
      </c>
      <c r="I41" t="str">
        <f t="shared" si="3"/>
        <v>15.1</v>
      </c>
    </row>
    <row r="42" spans="1:9" x14ac:dyDescent="0.25">
      <c r="A42" s="4" t="s">
        <v>128</v>
      </c>
      <c r="B42" t="s">
        <v>870</v>
      </c>
      <c r="C42" t="str">
        <f t="shared" si="4"/>
        <v>Davante Adams LV - WR@LAC Sun 4:25PM-3.552.524.5WR 414.8</v>
      </c>
      <c r="D42" t="str">
        <f t="shared" si="0"/>
        <v>Davante Adams</v>
      </c>
      <c r="E42" t="str">
        <f t="shared" si="1"/>
        <v>WR@</v>
      </c>
      <c r="F42" t="str" cm="1">
        <f t="array" ref="F42">_xlfn.IFS(E42="DEF","DEF",TRUE,LEFT(E42,2))</f>
        <v>WR</v>
      </c>
      <c r="G42">
        <f>COUNTIFS(F$1:F42,F42)</f>
        <v>4</v>
      </c>
      <c r="H42" t="str">
        <f t="shared" si="2"/>
        <v>WR 4</v>
      </c>
      <c r="I42" t="str">
        <f t="shared" si="3"/>
        <v>14.8</v>
      </c>
    </row>
    <row r="43" spans="1:9" x14ac:dyDescent="0.25">
      <c r="A43" s="4" t="s">
        <v>131</v>
      </c>
      <c r="B43" t="s">
        <v>871</v>
      </c>
      <c r="C43" t="str">
        <f t="shared" si="4"/>
        <v>Geno Smith SEA - QBDEN Mon 8:15PM-6.54318.5QB 3114.4</v>
      </c>
      <c r="D43" t="str">
        <f t="shared" si="0"/>
        <v>Geno Smith </v>
      </c>
      <c r="E43" t="str">
        <f t="shared" si="1"/>
        <v>QBD</v>
      </c>
      <c r="F43" t="str" cm="1">
        <f t="array" ref="F43">_xlfn.IFS(E43="DEF","DEF",TRUE,LEFT(E43,2))</f>
        <v>QB</v>
      </c>
      <c r="G43">
        <f>COUNTIFS(F$1:F43,F43)</f>
        <v>31</v>
      </c>
      <c r="H43" t="str">
        <f t="shared" si="2"/>
        <v>QB 31</v>
      </c>
      <c r="I43" t="str">
        <f t="shared" si="3"/>
        <v>14.4</v>
      </c>
    </row>
    <row r="44" spans="1:9" x14ac:dyDescent="0.25">
      <c r="A44" s="4" t="s">
        <v>134</v>
      </c>
      <c r="B44" t="s">
        <v>872</v>
      </c>
      <c r="C44" t="str">
        <f t="shared" si="4"/>
        <v>Stefon Diggs BUF - WR@LAR Thu 8:20PM--2.552.527.5WR 514.3</v>
      </c>
      <c r="D44" t="str">
        <f t="shared" si="0"/>
        <v>Stefon Diggs </v>
      </c>
      <c r="E44" t="str">
        <f t="shared" si="1"/>
        <v>WR@</v>
      </c>
      <c r="F44" t="str" cm="1">
        <f t="array" ref="F44">_xlfn.IFS(E44="DEF","DEF",TRUE,LEFT(E44,2))</f>
        <v>WR</v>
      </c>
      <c r="G44">
        <f>COUNTIFS(F$1:F44,F44)</f>
        <v>5</v>
      </c>
      <c r="H44" t="str">
        <f t="shared" si="2"/>
        <v>WR 5</v>
      </c>
      <c r="I44" t="str">
        <f t="shared" si="3"/>
        <v>14.3</v>
      </c>
    </row>
    <row r="45" spans="1:9" x14ac:dyDescent="0.25">
      <c r="A45" s="4" t="s">
        <v>137</v>
      </c>
      <c r="B45" t="s">
        <v>873</v>
      </c>
      <c r="C45" t="str">
        <f t="shared" si="4"/>
        <v>D'Andre Swift DET - RBPHI Sun 1:00PM-448.522.5RB 914.3</v>
      </c>
      <c r="D45" t="str">
        <f t="shared" si="0"/>
        <v>D'Andre Swift </v>
      </c>
      <c r="E45" t="str">
        <f t="shared" si="1"/>
        <v>RBP</v>
      </c>
      <c r="F45" t="str" cm="1">
        <f t="array" ref="F45">_xlfn.IFS(E45="DEF","DEF",TRUE,LEFT(E45,2))</f>
        <v>RB</v>
      </c>
      <c r="G45">
        <f>COUNTIFS(F$1:F45,F45)</f>
        <v>9</v>
      </c>
      <c r="H45" t="str">
        <f t="shared" si="2"/>
        <v>RB 9</v>
      </c>
      <c r="I45" t="str">
        <f t="shared" si="3"/>
        <v>14.3</v>
      </c>
    </row>
    <row r="46" spans="1:9" x14ac:dyDescent="0.25">
      <c r="A46" s="4" t="s">
        <v>140</v>
      </c>
      <c r="B46" t="s">
        <v>874</v>
      </c>
      <c r="C46" t="str">
        <f t="shared" si="4"/>
        <v>Aaron Jones GB - RB@MIN Sun 4:25PM--1.54825RB 1014.0</v>
      </c>
      <c r="D46" t="str">
        <f t="shared" si="0"/>
        <v>Aaron Jones</v>
      </c>
      <c r="E46" t="str">
        <f t="shared" si="1"/>
        <v>RB@</v>
      </c>
      <c r="F46" t="str" cm="1">
        <f t="array" ref="F46">_xlfn.IFS(E46="DEF","DEF",TRUE,LEFT(E46,2))</f>
        <v>RB</v>
      </c>
      <c r="G46">
        <f>COUNTIFS(F$1:F46,F46)</f>
        <v>10</v>
      </c>
      <c r="H46" t="str">
        <f t="shared" si="2"/>
        <v>RB 10</v>
      </c>
      <c r="I46" t="str">
        <f t="shared" si="3"/>
        <v>14.0</v>
      </c>
    </row>
    <row r="47" spans="1:9" x14ac:dyDescent="0.25">
      <c r="A47" s="4" t="s">
        <v>143</v>
      </c>
      <c r="B47" t="s">
        <v>875</v>
      </c>
      <c r="C47" t="str">
        <f t="shared" si="4"/>
        <v>Nick Chubb CLE - RB@CAR Sun 1:00PM-2.541.519.5RB 1114.0</v>
      </c>
      <c r="D47" t="str">
        <f t="shared" si="0"/>
        <v>Nick Chubb </v>
      </c>
      <c r="E47" t="str">
        <f t="shared" si="1"/>
        <v>RB@</v>
      </c>
      <c r="F47" t="str" cm="1">
        <f t="array" ref="F47">_xlfn.IFS(E47="DEF","DEF",TRUE,LEFT(E47,2))</f>
        <v>RB</v>
      </c>
      <c r="G47">
        <f>COUNTIFS(F$1:F47,F47)</f>
        <v>11</v>
      </c>
      <c r="H47" t="str">
        <f t="shared" si="2"/>
        <v>RB 11</v>
      </c>
      <c r="I47" t="str">
        <f t="shared" si="3"/>
        <v>14.0</v>
      </c>
    </row>
    <row r="48" spans="1:9" x14ac:dyDescent="0.25">
      <c r="A48" s="4" t="s">
        <v>146</v>
      </c>
      <c r="B48" t="s">
        <v>876</v>
      </c>
      <c r="C48" t="str">
        <f t="shared" si="4"/>
        <v>Saquon Barkley NYG - RB@TEN Sun 4:25PM-5.543.519RB 1213.9</v>
      </c>
      <c r="D48" t="str">
        <f t="shared" si="0"/>
        <v>Saquon Barkley </v>
      </c>
      <c r="E48" t="str">
        <f t="shared" si="1"/>
        <v>RB@</v>
      </c>
      <c r="F48" t="str" cm="1">
        <f t="array" ref="F48">_xlfn.IFS(E48="DEF","DEF",TRUE,LEFT(E48,2))</f>
        <v>RB</v>
      </c>
      <c r="G48">
        <f>COUNTIFS(F$1:F48,F48)</f>
        <v>12</v>
      </c>
      <c r="H48" t="str">
        <f t="shared" si="2"/>
        <v>RB 12</v>
      </c>
      <c r="I48" t="str">
        <f t="shared" si="3"/>
        <v>13.9</v>
      </c>
    </row>
    <row r="49" spans="1:9" x14ac:dyDescent="0.25">
      <c r="A49" s="4" t="s">
        <v>149</v>
      </c>
      <c r="B49" t="s">
        <v>877</v>
      </c>
      <c r="C49" t="str">
        <f t="shared" si="4"/>
        <v>CeeDee Lamb DAL - WRTB Sun 8:20PM-1.55024.5WR 613.8</v>
      </c>
      <c r="D49" t="str">
        <f t="shared" si="0"/>
        <v>CeeDee Lamb </v>
      </c>
      <c r="E49" t="str">
        <f t="shared" si="1"/>
        <v>WRT</v>
      </c>
      <c r="F49" t="str" cm="1">
        <f t="array" ref="F49">_xlfn.IFS(E49="DEF","DEF",TRUE,LEFT(E49,2))</f>
        <v>WR</v>
      </c>
      <c r="G49">
        <f>COUNTIFS(F$1:F49,F49)</f>
        <v>6</v>
      </c>
      <c r="H49" t="str">
        <f t="shared" si="2"/>
        <v>WR 6</v>
      </c>
      <c r="I49" t="str">
        <f t="shared" si="3"/>
        <v>13.8</v>
      </c>
    </row>
    <row r="50" spans="1:9" x14ac:dyDescent="0.25">
      <c r="A50" s="4" t="s">
        <v>152</v>
      </c>
      <c r="B50" t="s">
        <v>878</v>
      </c>
      <c r="C50" t="str">
        <f t="shared" si="4"/>
        <v>Javonte Williams DEN - RB@SEA Mon 8:15PM--6.54325RB 1313.8</v>
      </c>
      <c r="D50" t="str">
        <f t="shared" si="0"/>
        <v>Javonte Williams </v>
      </c>
      <c r="E50" t="str">
        <f t="shared" si="1"/>
        <v>RB@</v>
      </c>
      <c r="F50" t="str" cm="1">
        <f t="array" ref="F50">_xlfn.IFS(E50="DEF","DEF",TRUE,LEFT(E50,2))</f>
        <v>RB</v>
      </c>
      <c r="G50">
        <f>COUNTIFS(F$1:F50,F50)</f>
        <v>13</v>
      </c>
      <c r="H50" t="str">
        <f t="shared" si="2"/>
        <v>RB 13</v>
      </c>
      <c r="I50" t="str">
        <f t="shared" si="3"/>
        <v>13.8</v>
      </c>
    </row>
    <row r="51" spans="1:9" x14ac:dyDescent="0.25">
      <c r="A51" s="4" t="s">
        <v>155</v>
      </c>
      <c r="B51" t="s">
        <v>879</v>
      </c>
      <c r="C51" t="str">
        <f t="shared" si="4"/>
        <v>Leonard Fournette TB - RB@DAL Sun 8:20PM--1.55026RB 1413.7</v>
      </c>
      <c r="D51" t="str">
        <f t="shared" si="0"/>
        <v>Leonard Fournette</v>
      </c>
      <c r="E51" t="str">
        <f t="shared" si="1"/>
        <v>RB@</v>
      </c>
      <c r="F51" t="str" cm="1">
        <f t="array" ref="F51">_xlfn.IFS(E51="DEF","DEF",TRUE,LEFT(E51,2))</f>
        <v>RB</v>
      </c>
      <c r="G51">
        <f>COUNTIFS(F$1:F51,F51)</f>
        <v>14</v>
      </c>
      <c r="H51" t="str">
        <f t="shared" si="2"/>
        <v>RB 14</v>
      </c>
      <c r="I51" t="str">
        <f t="shared" si="3"/>
        <v>13.7</v>
      </c>
    </row>
    <row r="52" spans="1:9" x14ac:dyDescent="0.25">
      <c r="A52" s="4" t="s">
        <v>158</v>
      </c>
      <c r="B52" t="s">
        <v>880</v>
      </c>
      <c r="C52" t="str">
        <f t="shared" si="4"/>
        <v>James Conner ARI - RBKC Sun 4:25PM-453.525RB 1513.6</v>
      </c>
      <c r="D52" t="str">
        <f t="shared" si="0"/>
        <v>James Conner </v>
      </c>
      <c r="E52" t="str">
        <f t="shared" si="1"/>
        <v>RBK</v>
      </c>
      <c r="F52" t="str" cm="1">
        <f t="array" ref="F52">_xlfn.IFS(E52="DEF","DEF",TRUE,LEFT(E52,2))</f>
        <v>RB</v>
      </c>
      <c r="G52">
        <f>COUNTIFS(F$1:F52,F52)</f>
        <v>15</v>
      </c>
      <c r="H52" t="str">
        <f t="shared" si="2"/>
        <v>RB 15</v>
      </c>
      <c r="I52" t="str">
        <f t="shared" si="3"/>
        <v>13.6</v>
      </c>
    </row>
    <row r="53" spans="1:9" x14ac:dyDescent="0.25">
      <c r="A53" s="4" t="s">
        <v>161</v>
      </c>
      <c r="B53" t="s">
        <v>881</v>
      </c>
      <c r="C53" t="str">
        <f t="shared" si="4"/>
        <v>Mark Andrews BAL - TE@NYJ Sun 1:00PM--744.526TE 113.5</v>
      </c>
      <c r="D53" t="str">
        <f t="shared" si="0"/>
        <v>Mark Andrews </v>
      </c>
      <c r="E53" t="str">
        <f t="shared" si="1"/>
        <v>TE@</v>
      </c>
      <c r="F53" t="str" cm="1">
        <f t="array" ref="F53">_xlfn.IFS(E53="DEF","DEF",TRUE,LEFT(E53,2))</f>
        <v>TE</v>
      </c>
      <c r="G53">
        <f>COUNTIFS(F$1:F53,F53)</f>
        <v>1</v>
      </c>
      <c r="H53" t="str">
        <f t="shared" si="2"/>
        <v>TE 1</v>
      </c>
      <c r="I53" t="str">
        <f t="shared" si="3"/>
        <v>13.5</v>
      </c>
    </row>
    <row r="54" spans="1:9" x14ac:dyDescent="0.25">
      <c r="A54" s="4" t="s">
        <v>164</v>
      </c>
      <c r="B54" t="s">
        <v>882</v>
      </c>
      <c r="C54" t="str">
        <f t="shared" si="4"/>
        <v>Joe Flacco NYJ - QBBAL Sun 1:00PM-744.519QB 3213.5</v>
      </c>
      <c r="D54" t="str">
        <f t="shared" si="0"/>
        <v>Joe Flacco </v>
      </c>
      <c r="E54" t="str">
        <f t="shared" si="1"/>
        <v>QBB</v>
      </c>
      <c r="F54" t="str" cm="1">
        <f t="array" ref="F54">_xlfn.IFS(E54="DEF","DEF",TRUE,LEFT(E54,2))</f>
        <v>QB</v>
      </c>
      <c r="G54">
        <f>COUNTIFS(F$1:F54,F54)</f>
        <v>32</v>
      </c>
      <c r="H54" t="str">
        <f t="shared" si="2"/>
        <v>QB 32</v>
      </c>
      <c r="I54" t="str">
        <f t="shared" si="3"/>
        <v>13.5</v>
      </c>
    </row>
    <row r="55" spans="1:9" x14ac:dyDescent="0.25">
      <c r="A55" s="4" t="s">
        <v>167</v>
      </c>
      <c r="B55" t="s">
        <v>883</v>
      </c>
      <c r="C55" t="str">
        <f t="shared" si="4"/>
        <v>Michael Pittman Jr. IND - WR@HOU Sun 1:00PM--84627WR 713.4</v>
      </c>
      <c r="D55" t="str">
        <f t="shared" si="0"/>
        <v>Michael Pittman Jr. </v>
      </c>
      <c r="E55" t="str">
        <f t="shared" si="1"/>
        <v>WR@</v>
      </c>
      <c r="F55" t="str" cm="1">
        <f t="array" ref="F55">_xlfn.IFS(E55="DEF","DEF",TRUE,LEFT(E55,2))</f>
        <v>WR</v>
      </c>
      <c r="G55">
        <f>COUNTIFS(F$1:F55,F55)</f>
        <v>7</v>
      </c>
      <c r="H55" t="str">
        <f t="shared" si="2"/>
        <v>WR 7</v>
      </c>
      <c r="I55" t="str">
        <f t="shared" si="3"/>
        <v>13.4</v>
      </c>
    </row>
    <row r="56" spans="1:9" x14ac:dyDescent="0.25">
      <c r="A56" s="4" t="s">
        <v>170</v>
      </c>
      <c r="B56" t="s">
        <v>884</v>
      </c>
      <c r="C56" t="str">
        <f t="shared" si="4"/>
        <v>Travis Kelce KC - TE@ARI Sun 4:25PM--4.553.529TE 213.4</v>
      </c>
      <c r="D56" t="str">
        <f t="shared" si="0"/>
        <v>Travis Kelce</v>
      </c>
      <c r="E56" t="str">
        <f t="shared" si="1"/>
        <v>TE@</v>
      </c>
      <c r="F56" t="str" cm="1">
        <f t="array" ref="F56">_xlfn.IFS(E56="DEF","DEF",TRUE,LEFT(E56,2))</f>
        <v>TE</v>
      </c>
      <c r="G56">
        <f>COUNTIFS(F$1:F56,F56)</f>
        <v>2</v>
      </c>
      <c r="H56" t="str">
        <f t="shared" si="2"/>
        <v>TE 2</v>
      </c>
      <c r="I56" t="str">
        <f t="shared" si="3"/>
        <v>13.4</v>
      </c>
    </row>
    <row r="57" spans="1:9" x14ac:dyDescent="0.25">
      <c r="A57" s="4" t="s">
        <v>173</v>
      </c>
      <c r="B57" t="s">
        <v>885</v>
      </c>
      <c r="C57" t="str">
        <f t="shared" si="4"/>
        <v>Deebo Samuel SF - WR@CHI Sun 1:00PM--74124WR 813.1</v>
      </c>
      <c r="D57" t="str">
        <f t="shared" si="0"/>
        <v>Deebo Samuel</v>
      </c>
      <c r="E57" t="str">
        <f t="shared" si="1"/>
        <v>WR@</v>
      </c>
      <c r="F57" t="str" cm="1">
        <f t="array" ref="F57">_xlfn.IFS(E57="DEF","DEF",TRUE,LEFT(E57,2))</f>
        <v>WR</v>
      </c>
      <c r="G57">
        <f>COUNTIFS(F$1:F57,F57)</f>
        <v>8</v>
      </c>
      <c r="H57" t="str">
        <f t="shared" si="2"/>
        <v>WR 8</v>
      </c>
      <c r="I57" t="str">
        <f t="shared" si="3"/>
        <v>13.1</v>
      </c>
    </row>
    <row r="58" spans="1:9" x14ac:dyDescent="0.25">
      <c r="A58" s="4" t="s">
        <v>176</v>
      </c>
      <c r="B58" t="s">
        <v>886</v>
      </c>
      <c r="C58" t="str">
        <f t="shared" si="4"/>
        <v>Antonio Gibson WAS - RBJAC Sun 1:00PM--343.523.5RB 1613.1</v>
      </c>
      <c r="D58" t="str">
        <f t="shared" si="0"/>
        <v>Antonio Gibson </v>
      </c>
      <c r="E58" t="str">
        <f t="shared" si="1"/>
        <v>RBJ</v>
      </c>
      <c r="F58" t="str" cm="1">
        <f t="array" ref="F58">_xlfn.IFS(E58="DEF","DEF",TRUE,LEFT(E58,2))</f>
        <v>RB</v>
      </c>
      <c r="G58">
        <f>COUNTIFS(F$1:F58,F58)</f>
        <v>16</v>
      </c>
      <c r="H58" t="str">
        <f t="shared" si="2"/>
        <v>RB 16</v>
      </c>
      <c r="I58" t="str">
        <f t="shared" si="3"/>
        <v>13.1</v>
      </c>
    </row>
    <row r="59" spans="1:9" x14ac:dyDescent="0.25">
      <c r="A59" s="4" t="s">
        <v>179</v>
      </c>
      <c r="B59" t="s">
        <v>887</v>
      </c>
      <c r="C59" t="str">
        <f t="shared" si="4"/>
        <v>Mike Evans TB - WR@DAL Sun 8:20PM--1.55026WR 912.9</v>
      </c>
      <c r="D59" t="str">
        <f t="shared" si="0"/>
        <v>Mike Evans</v>
      </c>
      <c r="E59" t="str">
        <f t="shared" si="1"/>
        <v>WR@</v>
      </c>
      <c r="F59" t="str" cm="1">
        <f t="array" ref="F59">_xlfn.IFS(E59="DEF","DEF",TRUE,LEFT(E59,2))</f>
        <v>WR</v>
      </c>
      <c r="G59">
        <f>COUNTIFS(F$1:F59,F59)</f>
        <v>9</v>
      </c>
      <c r="H59" t="str">
        <f t="shared" si="2"/>
        <v>WR 9</v>
      </c>
      <c r="I59" t="str">
        <f t="shared" si="3"/>
        <v>12.9</v>
      </c>
    </row>
    <row r="60" spans="1:9" x14ac:dyDescent="0.25">
      <c r="A60" s="4" t="s">
        <v>182</v>
      </c>
      <c r="B60" t="s">
        <v>888</v>
      </c>
      <c r="C60" t="str">
        <f t="shared" si="4"/>
        <v>A.J. Brown PHI - WR@DET Sun 1:00PM--448.526.5WR 1012.6</v>
      </c>
      <c r="D60" t="str">
        <f t="shared" si="0"/>
        <v>A.J. Brown </v>
      </c>
      <c r="E60" t="str">
        <f t="shared" si="1"/>
        <v>WR@</v>
      </c>
      <c r="F60" t="str" cm="1">
        <f t="array" ref="F60">_xlfn.IFS(E60="DEF","DEF",TRUE,LEFT(E60,2))</f>
        <v>WR</v>
      </c>
      <c r="G60">
        <f>COUNTIFS(F$1:F60,F60)</f>
        <v>10</v>
      </c>
      <c r="H60" t="str">
        <f t="shared" si="2"/>
        <v>WR 10</v>
      </c>
      <c r="I60" t="str">
        <f t="shared" si="3"/>
        <v>12.6</v>
      </c>
    </row>
    <row r="61" spans="1:9" x14ac:dyDescent="0.25">
      <c r="A61" s="4" t="s">
        <v>185</v>
      </c>
      <c r="B61" t="s">
        <v>889</v>
      </c>
      <c r="C61" t="str">
        <f t="shared" si="4"/>
        <v>Ezekiel Elliott DAL - RBTB Sun 8:20PM-1.55024.5RB 1712.5</v>
      </c>
      <c r="D61" t="str">
        <f t="shared" si="0"/>
        <v>Ezekiel Elliott </v>
      </c>
      <c r="E61" t="str">
        <f t="shared" si="1"/>
        <v>RBT</v>
      </c>
      <c r="F61" t="str" cm="1">
        <f t="array" ref="F61">_xlfn.IFS(E61="DEF","DEF",TRUE,LEFT(E61,2))</f>
        <v>RB</v>
      </c>
      <c r="G61">
        <f>COUNTIFS(F$1:F61,F61)</f>
        <v>17</v>
      </c>
      <c r="H61" t="str">
        <f t="shared" si="2"/>
        <v>RB 17</v>
      </c>
      <c r="I61" t="str">
        <f t="shared" si="3"/>
        <v>12.5</v>
      </c>
    </row>
    <row r="62" spans="1:9" x14ac:dyDescent="0.25">
      <c r="A62" s="4" t="s">
        <v>188</v>
      </c>
      <c r="B62" t="s">
        <v>890</v>
      </c>
      <c r="C62" t="str">
        <f t="shared" si="4"/>
        <v>Tyreek Hill MIA - WRNE Sun 1:00PM--346.525WR 1112.3</v>
      </c>
      <c r="D62" t="str">
        <f t="shared" si="0"/>
        <v>Tyreek Hill </v>
      </c>
      <c r="E62" t="str">
        <f t="shared" si="1"/>
        <v>WRN</v>
      </c>
      <c r="F62" t="str" cm="1">
        <f t="array" ref="F62">_xlfn.IFS(E62="DEF","DEF",TRUE,LEFT(E62,2))</f>
        <v>WR</v>
      </c>
      <c r="G62">
        <f>COUNTIFS(F$1:F62,F62)</f>
        <v>11</v>
      </c>
      <c r="H62" t="str">
        <f t="shared" si="2"/>
        <v>WR 11</v>
      </c>
      <c r="I62" t="str">
        <f t="shared" si="3"/>
        <v>12.3</v>
      </c>
    </row>
    <row r="63" spans="1:9" x14ac:dyDescent="0.25">
      <c r="A63" s="4" t="s">
        <v>191</v>
      </c>
      <c r="B63" t="s">
        <v>891</v>
      </c>
      <c r="C63" t="str">
        <f t="shared" si="4"/>
        <v>Keenan Allen LAC - WRLV Sun 4:25PM--3.552.528WR 1212.2</v>
      </c>
      <c r="D63" t="str">
        <f t="shared" si="0"/>
        <v>Keenan Allen </v>
      </c>
      <c r="E63" t="str">
        <f t="shared" si="1"/>
        <v>WRL</v>
      </c>
      <c r="F63" t="str" cm="1">
        <f t="array" ref="F63">_xlfn.IFS(E63="DEF","DEF",TRUE,LEFT(E63,2))</f>
        <v>WR</v>
      </c>
      <c r="G63">
        <f>COUNTIFS(F$1:F63,F63)</f>
        <v>12</v>
      </c>
      <c r="H63" t="str">
        <f t="shared" si="2"/>
        <v>WR 12</v>
      </c>
      <c r="I63" t="str">
        <f t="shared" si="3"/>
        <v>12.2</v>
      </c>
    </row>
    <row r="64" spans="1:9" x14ac:dyDescent="0.25">
      <c r="A64" s="4" t="s">
        <v>194</v>
      </c>
      <c r="B64" t="s">
        <v>892</v>
      </c>
      <c r="C64" t="str">
        <f t="shared" si="4"/>
        <v>Josh Jacobs LV - RB@LAC Sun 4:25PM-3.552.524.5RB 1812.1</v>
      </c>
      <c r="D64" t="str">
        <f t="shared" si="0"/>
        <v>Josh Jacobs</v>
      </c>
      <c r="E64" t="str">
        <f t="shared" si="1"/>
        <v>RB@</v>
      </c>
      <c r="F64" t="str" cm="1">
        <f t="array" ref="F64">_xlfn.IFS(E64="DEF","DEF",TRUE,LEFT(E64,2))</f>
        <v>RB</v>
      </c>
      <c r="G64">
        <f>COUNTIFS(F$1:F64,F64)</f>
        <v>18</v>
      </c>
      <c r="H64" t="str">
        <f t="shared" si="2"/>
        <v>RB 18</v>
      </c>
      <c r="I64" t="str">
        <f t="shared" si="3"/>
        <v>12.1</v>
      </c>
    </row>
    <row r="65" spans="1:9" x14ac:dyDescent="0.25">
      <c r="A65" s="4" t="s">
        <v>197</v>
      </c>
      <c r="B65" t="s">
        <v>893</v>
      </c>
      <c r="C65" t="str">
        <f t="shared" si="4"/>
        <v>Travis Etienne Jr. JAC - RB@WAS Sun 1:00PM-343.520.5RB 1911.9</v>
      </c>
      <c r="D65" t="str">
        <f t="shared" si="0"/>
        <v>Travis Etienne Jr. </v>
      </c>
      <c r="E65" t="str">
        <f t="shared" si="1"/>
        <v>RB@</v>
      </c>
      <c r="F65" t="str" cm="1">
        <f t="array" ref="F65">_xlfn.IFS(E65="DEF","DEF",TRUE,LEFT(E65,2))</f>
        <v>RB</v>
      </c>
      <c r="G65">
        <f>COUNTIFS(F$1:F65,F65)</f>
        <v>19</v>
      </c>
      <c r="H65" t="str">
        <f t="shared" si="2"/>
        <v>RB 19</v>
      </c>
      <c r="I65" t="str">
        <f t="shared" si="3"/>
        <v>11.9</v>
      </c>
    </row>
    <row r="66" spans="1:9" x14ac:dyDescent="0.25">
      <c r="A66" s="4" t="s">
        <v>200</v>
      </c>
      <c r="B66" t="s">
        <v>894</v>
      </c>
      <c r="C66" t="str">
        <f t="shared" si="4"/>
        <v>Courtland Sutton DEN - WR@SEA Mon 8:15PM--6.54325WR 1311.9</v>
      </c>
      <c r="D66" t="str">
        <f t="shared" ref="D66:D129" si="5">TRIM(LEFT(C66,FIND(" - ",C66) - 4))</f>
        <v>Courtland Sutton </v>
      </c>
      <c r="E66" t="str">
        <f t="shared" ref="E66:E129" si="6">MID(C66,FIND(" - ",C66)+3,3)</f>
        <v>WR@</v>
      </c>
      <c r="F66" t="str" cm="1">
        <f t="array" ref="F66">_xlfn.IFS(E66="DEF","DEF",TRUE,LEFT(E66,2))</f>
        <v>WR</v>
      </c>
      <c r="G66">
        <f>COUNTIFS(F$1:F66,F66)</f>
        <v>13</v>
      </c>
      <c r="H66" t="str">
        <f t="shared" ref="H66:H129" si="7">F66&amp;" "&amp;G66</f>
        <v>WR 13</v>
      </c>
      <c r="I66" t="str">
        <f t="shared" ref="I66:I129" si="8">RIGHT(C66,LEN(C66)-FIND(H66,C66)-LEN(H66)+1)</f>
        <v>11.9</v>
      </c>
    </row>
    <row r="67" spans="1:9" x14ac:dyDescent="0.25">
      <c r="A67" s="4" t="s">
        <v>203</v>
      </c>
      <c r="B67" t="s">
        <v>895</v>
      </c>
      <c r="C67" t="str">
        <f t="shared" ref="C67:C130" si="9">B67</f>
        <v>Tee Higgins CIN - WRPIT Sun 1:00PM--6.544.525.5WR 1411.9</v>
      </c>
      <c r="D67" t="str">
        <f t="shared" si="5"/>
        <v>Tee Higgins </v>
      </c>
      <c r="E67" t="str">
        <f t="shared" si="6"/>
        <v>WRP</v>
      </c>
      <c r="F67" t="str" cm="1">
        <f t="array" ref="F67">_xlfn.IFS(E67="DEF","DEF",TRUE,LEFT(E67,2))</f>
        <v>WR</v>
      </c>
      <c r="G67">
        <f>COUNTIFS(F$1:F67,F67)</f>
        <v>14</v>
      </c>
      <c r="H67" t="str">
        <f t="shared" si="7"/>
        <v>WR 14</v>
      </c>
      <c r="I67" t="str">
        <f t="shared" si="8"/>
        <v>11.9</v>
      </c>
    </row>
    <row r="68" spans="1:9" x14ac:dyDescent="0.25">
      <c r="A68" s="4" t="s">
        <v>206</v>
      </c>
      <c r="B68" t="s">
        <v>896</v>
      </c>
      <c r="C68" t="str">
        <f t="shared" si="9"/>
        <v>DJ Moore CAR - WRCLE Sun 1:00PM--2.541.522WR 1511.9</v>
      </c>
      <c r="D68" t="str">
        <f t="shared" si="5"/>
        <v>DJ Moore </v>
      </c>
      <c r="E68" t="str">
        <f t="shared" si="6"/>
        <v>WRC</v>
      </c>
      <c r="F68" t="str" cm="1">
        <f t="array" ref="F68">_xlfn.IFS(E68="DEF","DEF",TRUE,LEFT(E68,2))</f>
        <v>WR</v>
      </c>
      <c r="G68">
        <f>COUNTIFS(F$1:F68,F68)</f>
        <v>15</v>
      </c>
      <c r="H68" t="str">
        <f t="shared" si="7"/>
        <v>WR 15</v>
      </c>
      <c r="I68" t="str">
        <f t="shared" si="8"/>
        <v>11.9</v>
      </c>
    </row>
    <row r="69" spans="1:9" x14ac:dyDescent="0.25">
      <c r="A69" s="4" t="s">
        <v>209</v>
      </c>
      <c r="B69" t="s">
        <v>897</v>
      </c>
      <c r="C69" t="str">
        <f t="shared" si="9"/>
        <v>David Montgomery CHI - RBSF Sun 1:00PM-74117RB 2011.8</v>
      </c>
      <c r="D69" t="str">
        <f t="shared" si="5"/>
        <v>David Montgomery </v>
      </c>
      <c r="E69" t="str">
        <f t="shared" si="6"/>
        <v>RBS</v>
      </c>
      <c r="F69" t="str" cm="1">
        <f t="array" ref="F69">_xlfn.IFS(E69="DEF","DEF",TRUE,LEFT(E69,2))</f>
        <v>RB</v>
      </c>
      <c r="G69">
        <f>COUNTIFS(F$1:F69,F69)</f>
        <v>20</v>
      </c>
      <c r="H69" t="str">
        <f t="shared" si="7"/>
        <v>RB 20</v>
      </c>
      <c r="I69" t="str">
        <f t="shared" si="8"/>
        <v>11.8</v>
      </c>
    </row>
    <row r="70" spans="1:9" x14ac:dyDescent="0.25">
      <c r="A70" s="4" t="s">
        <v>212</v>
      </c>
      <c r="B70" t="s">
        <v>898</v>
      </c>
      <c r="C70" t="str">
        <f t="shared" si="9"/>
        <v>Diontae Johnson PIT - WR@CIN Sun 1:00PM-6.544.519WR 1611.8</v>
      </c>
      <c r="D70" t="str">
        <f t="shared" si="5"/>
        <v>Diontae Johnson </v>
      </c>
      <c r="E70" t="str">
        <f t="shared" si="6"/>
        <v>WR@</v>
      </c>
      <c r="F70" t="str" cm="1">
        <f t="array" ref="F70">_xlfn.IFS(E70="DEF","DEF",TRUE,LEFT(E70,2))</f>
        <v>WR</v>
      </c>
      <c r="G70">
        <f>COUNTIFS(F$1:F70,F70)</f>
        <v>16</v>
      </c>
      <c r="H70" t="str">
        <f t="shared" si="7"/>
        <v>WR 16</v>
      </c>
      <c r="I70" t="str">
        <f t="shared" si="8"/>
        <v>11.8</v>
      </c>
    </row>
    <row r="71" spans="1:9" x14ac:dyDescent="0.25">
      <c r="A71" s="4" t="s">
        <v>215</v>
      </c>
      <c r="B71" t="s">
        <v>899</v>
      </c>
      <c r="C71" t="str">
        <f t="shared" si="9"/>
        <v>Elijah Mitchell SF - RB@CHI Sun 1:00PM--74124RB 2111.8</v>
      </c>
      <c r="D71" t="str">
        <f t="shared" si="5"/>
        <v>Elijah Mitchell</v>
      </c>
      <c r="E71" t="str">
        <f t="shared" si="6"/>
        <v>RB@</v>
      </c>
      <c r="F71" t="str" cm="1">
        <f t="array" ref="F71">_xlfn.IFS(E71="DEF","DEF",TRUE,LEFT(E71,2))</f>
        <v>RB</v>
      </c>
      <c r="G71">
        <f>COUNTIFS(F$1:F71,F71)</f>
        <v>21</v>
      </c>
      <c r="H71" t="str">
        <f t="shared" si="7"/>
        <v>RB 21</v>
      </c>
      <c r="I71" t="str">
        <f t="shared" si="8"/>
        <v>11.8</v>
      </c>
    </row>
    <row r="72" spans="1:9" x14ac:dyDescent="0.25">
      <c r="A72" s="4" t="s">
        <v>218</v>
      </c>
      <c r="B72" t="s">
        <v>900</v>
      </c>
      <c r="C72" t="str">
        <f t="shared" si="9"/>
        <v>AJ Dillon GB - RB@MIN Sun 4:25PM--1.54825RB 2211.6</v>
      </c>
      <c r="D72" t="str">
        <f t="shared" si="5"/>
        <v>AJ Dillon</v>
      </c>
      <c r="E72" t="str">
        <f t="shared" si="6"/>
        <v>RB@</v>
      </c>
      <c r="F72" t="str" cm="1">
        <f t="array" ref="F72">_xlfn.IFS(E72="DEF","DEF",TRUE,LEFT(E72,2))</f>
        <v>RB</v>
      </c>
      <c r="G72">
        <f>COUNTIFS(F$1:F72,F72)</f>
        <v>22</v>
      </c>
      <c r="H72" t="str">
        <f t="shared" si="7"/>
        <v>RB 22</v>
      </c>
      <c r="I72" t="str">
        <f t="shared" si="8"/>
        <v>11.6</v>
      </c>
    </row>
    <row r="73" spans="1:9" x14ac:dyDescent="0.25">
      <c r="A73" s="4" t="s">
        <v>221</v>
      </c>
      <c r="B73" t="s">
        <v>901</v>
      </c>
      <c r="C73" t="str">
        <f t="shared" si="9"/>
        <v>Cam Akers LAR - RBBUF Thu 8:20PM-2.552.525RB 2311.6</v>
      </c>
      <c r="D73" t="str">
        <f t="shared" si="5"/>
        <v>Cam Akers </v>
      </c>
      <c r="E73" t="str">
        <f t="shared" si="6"/>
        <v>RBB</v>
      </c>
      <c r="F73" t="str" cm="1">
        <f t="array" ref="F73">_xlfn.IFS(E73="DEF","DEF",TRUE,LEFT(E73,2))</f>
        <v>RB</v>
      </c>
      <c r="G73">
        <f>COUNTIFS(F$1:F73,F73)</f>
        <v>23</v>
      </c>
      <c r="H73" t="str">
        <f t="shared" si="7"/>
        <v>RB 23</v>
      </c>
      <c r="I73" t="str">
        <f t="shared" si="8"/>
        <v>11.6</v>
      </c>
    </row>
    <row r="74" spans="1:9" x14ac:dyDescent="0.25">
      <c r="A74" s="4" t="s">
        <v>224</v>
      </c>
      <c r="B74" t="s">
        <v>902</v>
      </c>
      <c r="C74" t="str">
        <f t="shared" si="9"/>
        <v>Marquise Brown ARI - WRKC Sun 4:25PM-453.525WR 1711.6</v>
      </c>
      <c r="D74" t="str">
        <f t="shared" si="5"/>
        <v>Marquise Brown </v>
      </c>
      <c r="E74" t="str">
        <f t="shared" si="6"/>
        <v>WRK</v>
      </c>
      <c r="F74" t="str" cm="1">
        <f t="array" ref="F74">_xlfn.IFS(E74="DEF","DEF",TRUE,LEFT(E74,2))</f>
        <v>WR</v>
      </c>
      <c r="G74">
        <f>COUNTIFS(F$1:F74,F74)</f>
        <v>17</v>
      </c>
      <c r="H74" t="str">
        <f t="shared" si="7"/>
        <v>WR 17</v>
      </c>
      <c r="I74" t="str">
        <f t="shared" si="8"/>
        <v>11.6</v>
      </c>
    </row>
    <row r="75" spans="1:9" x14ac:dyDescent="0.25">
      <c r="A75" s="4" t="s">
        <v>227</v>
      </c>
      <c r="B75" t="s">
        <v>903</v>
      </c>
      <c r="C75" t="str">
        <f t="shared" si="9"/>
        <v>Mike Williams LAC - WRLV Sun 4:25PM--3.552.528WR 1811.4</v>
      </c>
      <c r="D75" t="str">
        <f t="shared" si="5"/>
        <v>Mike Williams </v>
      </c>
      <c r="E75" t="str">
        <f t="shared" si="6"/>
        <v>WRL</v>
      </c>
      <c r="F75" t="str" cm="1">
        <f t="array" ref="F75">_xlfn.IFS(E75="DEF","DEF",TRUE,LEFT(E75,2))</f>
        <v>WR</v>
      </c>
      <c r="G75">
        <f>COUNTIFS(F$1:F75,F75)</f>
        <v>18</v>
      </c>
      <c r="H75" t="str">
        <f t="shared" si="7"/>
        <v>WR 18</v>
      </c>
      <c r="I75" t="str">
        <f t="shared" si="8"/>
        <v>11.4</v>
      </c>
    </row>
    <row r="76" spans="1:9" x14ac:dyDescent="0.25">
      <c r="A76" s="4" t="s">
        <v>230</v>
      </c>
      <c r="B76" t="s">
        <v>904</v>
      </c>
      <c r="C76" t="str">
        <f t="shared" si="9"/>
        <v>Brandin Cooks HOU - WRIND Sun 1:00PM-84619WR 1911.4</v>
      </c>
      <c r="D76" t="str">
        <f t="shared" si="5"/>
        <v>Brandin Cooks </v>
      </c>
      <c r="E76" t="str">
        <f t="shared" si="6"/>
        <v>WRI</v>
      </c>
      <c r="F76" t="str" cm="1">
        <f t="array" ref="F76">_xlfn.IFS(E76="DEF","DEF",TRUE,LEFT(E76,2))</f>
        <v>WR</v>
      </c>
      <c r="G76">
        <f>COUNTIFS(F$1:F76,F76)</f>
        <v>19</v>
      </c>
      <c r="H76" t="str">
        <f t="shared" si="7"/>
        <v>WR 19</v>
      </c>
      <c r="I76" t="str">
        <f t="shared" si="8"/>
        <v>11.4</v>
      </c>
    </row>
    <row r="77" spans="1:9" x14ac:dyDescent="0.25">
      <c r="A77" s="4" t="s">
        <v>233</v>
      </c>
      <c r="B77" t="s">
        <v>905</v>
      </c>
      <c r="C77" t="str">
        <f t="shared" si="9"/>
        <v>Terry McLaurin WAS - WRJAC Sun 1:00PM--343.523.5WR 2011.4</v>
      </c>
      <c r="D77" t="str">
        <f t="shared" si="5"/>
        <v>Terry McLaurin </v>
      </c>
      <c r="E77" t="str">
        <f t="shared" si="6"/>
        <v>WRJ</v>
      </c>
      <c r="F77" t="str" cm="1">
        <f t="array" ref="F77">_xlfn.IFS(E77="DEF","DEF",TRUE,LEFT(E77,2))</f>
        <v>WR</v>
      </c>
      <c r="G77">
        <f>COUNTIFS(F$1:F77,F77)</f>
        <v>20</v>
      </c>
      <c r="H77" t="str">
        <f t="shared" si="7"/>
        <v>WR 20</v>
      </c>
      <c r="I77" t="str">
        <f t="shared" si="8"/>
        <v>11.4</v>
      </c>
    </row>
    <row r="78" spans="1:9" x14ac:dyDescent="0.25">
      <c r="A78" s="4" t="s">
        <v>236</v>
      </c>
      <c r="B78" t="s">
        <v>906</v>
      </c>
      <c r="C78" t="str">
        <f t="shared" si="9"/>
        <v>Chase Edmonds MIA - RBNE Sun 1:00PM--346.525RB 2411.3</v>
      </c>
      <c r="D78" t="str">
        <f t="shared" si="5"/>
        <v>Chase Edmonds </v>
      </c>
      <c r="E78" t="str">
        <f t="shared" si="6"/>
        <v>RBN</v>
      </c>
      <c r="F78" t="str" cm="1">
        <f t="array" ref="F78">_xlfn.IFS(E78="DEF","DEF",TRUE,LEFT(E78,2))</f>
        <v>RB</v>
      </c>
      <c r="G78">
        <f>COUNTIFS(F$1:F78,F78)</f>
        <v>24</v>
      </c>
      <c r="H78" t="str">
        <f t="shared" si="7"/>
        <v>RB 24</v>
      </c>
      <c r="I78" t="str">
        <f t="shared" si="8"/>
        <v>11.3</v>
      </c>
    </row>
    <row r="79" spans="1:9" x14ac:dyDescent="0.25">
      <c r="A79" s="4" t="s">
        <v>239</v>
      </c>
      <c r="B79" t="s">
        <v>907</v>
      </c>
      <c r="C79" t="str">
        <f t="shared" si="9"/>
        <v>Jaylen Waddle MIA - WRNE Sun 1:00PM--346.525WR 2111.1</v>
      </c>
      <c r="D79" t="str">
        <f t="shared" si="5"/>
        <v>Jaylen Waddle </v>
      </c>
      <c r="E79" t="str">
        <f t="shared" si="6"/>
        <v>WRN</v>
      </c>
      <c r="F79" t="str" cm="1">
        <f t="array" ref="F79">_xlfn.IFS(E79="DEF","DEF",TRUE,LEFT(E79,2))</f>
        <v>WR</v>
      </c>
      <c r="G79">
        <f>COUNTIFS(F$1:F79,F79)</f>
        <v>21</v>
      </c>
      <c r="H79" t="str">
        <f t="shared" si="7"/>
        <v>WR 21</v>
      </c>
      <c r="I79" t="str">
        <f t="shared" si="8"/>
        <v>11.1</v>
      </c>
    </row>
    <row r="80" spans="1:9" x14ac:dyDescent="0.25">
      <c r="A80" s="4" t="s">
        <v>242</v>
      </c>
      <c r="B80" t="s">
        <v>908</v>
      </c>
      <c r="C80" t="str">
        <f t="shared" si="9"/>
        <v>Rashod Bateman BAL - WR@NYJ Sun 1:00PM--744.526WR 2211.1</v>
      </c>
      <c r="D80" t="str">
        <f t="shared" si="5"/>
        <v>Rashod Bateman </v>
      </c>
      <c r="E80" t="str">
        <f t="shared" si="6"/>
        <v>WR@</v>
      </c>
      <c r="F80" t="str" cm="1">
        <f t="array" ref="F80">_xlfn.IFS(E80="DEF","DEF",TRUE,LEFT(E80,2))</f>
        <v>WR</v>
      </c>
      <c r="G80">
        <f>COUNTIFS(F$1:F80,F80)</f>
        <v>22</v>
      </c>
      <c r="H80" t="str">
        <f t="shared" si="7"/>
        <v>WR 22</v>
      </c>
      <c r="I80" t="str">
        <f t="shared" si="8"/>
        <v>11.1</v>
      </c>
    </row>
    <row r="81" spans="1:9" x14ac:dyDescent="0.25">
      <c r="A81" s="4" t="s">
        <v>245</v>
      </c>
      <c r="B81" t="s">
        <v>909</v>
      </c>
      <c r="C81" t="str">
        <f t="shared" si="9"/>
        <v>DK Metcalf SEA - WRDEN Mon 8:15PM-6.54318.5WR 2311.1</v>
      </c>
      <c r="D81" t="str">
        <f t="shared" si="5"/>
        <v>DK Metcalf </v>
      </c>
      <c r="E81" t="str">
        <f t="shared" si="6"/>
        <v>WRD</v>
      </c>
      <c r="F81" t="str" cm="1">
        <f t="array" ref="F81">_xlfn.IFS(E81="DEF","DEF",TRUE,LEFT(E81,2))</f>
        <v>WR</v>
      </c>
      <c r="G81">
        <f>COUNTIFS(F$1:F81,F81)</f>
        <v>23</v>
      </c>
      <c r="H81" t="str">
        <f t="shared" si="7"/>
        <v>WR 23</v>
      </c>
      <c r="I81" t="str">
        <f t="shared" si="8"/>
        <v>11.1</v>
      </c>
    </row>
    <row r="82" spans="1:9" x14ac:dyDescent="0.25">
      <c r="A82" s="4" t="s">
        <v>248</v>
      </c>
      <c r="B82" t="s">
        <v>910</v>
      </c>
      <c r="C82" t="str">
        <f t="shared" si="9"/>
        <v>Darnell Mooney CHI - WRSF Sun 1:00PM-74117WR 2410.9</v>
      </c>
      <c r="D82" t="str">
        <f t="shared" si="5"/>
        <v>Darnell Mooney </v>
      </c>
      <c r="E82" t="str">
        <f t="shared" si="6"/>
        <v>WRS</v>
      </c>
      <c r="F82" t="str" cm="1">
        <f t="array" ref="F82">_xlfn.IFS(E82="DEF","DEF",TRUE,LEFT(E82,2))</f>
        <v>WR</v>
      </c>
      <c r="G82">
        <f>COUNTIFS(F$1:F82,F82)</f>
        <v>24</v>
      </c>
      <c r="H82" t="str">
        <f t="shared" si="7"/>
        <v>WR 24</v>
      </c>
      <c r="I82" t="str">
        <f t="shared" si="8"/>
        <v>10.9</v>
      </c>
    </row>
    <row r="83" spans="1:9" x14ac:dyDescent="0.25">
      <c r="A83" s="4" t="s">
        <v>251</v>
      </c>
      <c r="B83" t="s">
        <v>911</v>
      </c>
      <c r="C83" t="str">
        <f t="shared" si="9"/>
        <v>Rashaad Penny SEA - RBDEN Mon 8:15PM-6.54318.5RB 2510.9</v>
      </c>
      <c r="D83" t="str">
        <f t="shared" si="5"/>
        <v>Rashaad Penny </v>
      </c>
      <c r="E83" t="str">
        <f t="shared" si="6"/>
        <v>RBD</v>
      </c>
      <c r="F83" t="str" cm="1">
        <f t="array" ref="F83">_xlfn.IFS(E83="DEF","DEF",TRUE,LEFT(E83,2))</f>
        <v>RB</v>
      </c>
      <c r="G83">
        <f>COUNTIFS(F$1:F83,F83)</f>
        <v>25</v>
      </c>
      <c r="H83" t="str">
        <f t="shared" si="7"/>
        <v>RB 25</v>
      </c>
      <c r="I83" t="str">
        <f t="shared" si="8"/>
        <v>10.9</v>
      </c>
    </row>
    <row r="84" spans="1:9" x14ac:dyDescent="0.25">
      <c r="A84" s="4" t="s">
        <v>254</v>
      </c>
      <c r="B84" t="s">
        <v>912</v>
      </c>
      <c r="C84" t="str">
        <f t="shared" si="9"/>
        <v>Michael Thomas NO - WR@ATL Sun 1:00PM--5.542.524WR 2510.8</v>
      </c>
      <c r="D84" t="str">
        <f t="shared" si="5"/>
        <v>Michael Thomas</v>
      </c>
      <c r="E84" t="str">
        <f t="shared" si="6"/>
        <v>WR@</v>
      </c>
      <c r="F84" t="str" cm="1">
        <f t="array" ref="F84">_xlfn.IFS(E84="DEF","DEF",TRUE,LEFT(E84,2))</f>
        <v>WR</v>
      </c>
      <c r="G84">
        <f>COUNTIFS(F$1:F84,F84)</f>
        <v>25</v>
      </c>
      <c r="H84" t="str">
        <f t="shared" si="7"/>
        <v>WR 25</v>
      </c>
      <c r="I84" t="str">
        <f t="shared" si="8"/>
        <v>10.8</v>
      </c>
    </row>
    <row r="85" spans="1:9" x14ac:dyDescent="0.25">
      <c r="A85" s="4" t="s">
        <v>257</v>
      </c>
      <c r="B85" t="s">
        <v>913</v>
      </c>
      <c r="C85" t="str">
        <f t="shared" si="9"/>
        <v>Allen Robinson II LAR - WRBUF Thu 8:20PM-2.552.525WR 2610.7</v>
      </c>
      <c r="D85" t="str">
        <f t="shared" si="5"/>
        <v>Allen Robinson II </v>
      </c>
      <c r="E85" t="str">
        <f t="shared" si="6"/>
        <v>WRB</v>
      </c>
      <c r="F85" t="str" cm="1">
        <f t="array" ref="F85">_xlfn.IFS(E85="DEF","DEF",TRUE,LEFT(E85,2))</f>
        <v>WR</v>
      </c>
      <c r="G85">
        <f>COUNTIFS(F$1:F85,F85)</f>
        <v>26</v>
      </c>
      <c r="H85" t="str">
        <f t="shared" si="7"/>
        <v>WR 26</v>
      </c>
      <c r="I85" t="str">
        <f t="shared" si="8"/>
        <v>10.7</v>
      </c>
    </row>
    <row r="86" spans="1:9" x14ac:dyDescent="0.25">
      <c r="A86" s="4" t="s">
        <v>260</v>
      </c>
      <c r="B86" t="s">
        <v>914</v>
      </c>
      <c r="C86" t="str">
        <f t="shared" si="9"/>
        <v>Jerry Jeudy DEN - WR@SEA Mon 8:15PM--6.54325WR 2710.7</v>
      </c>
      <c r="D86" t="str">
        <f t="shared" si="5"/>
        <v>Jerry Jeudy </v>
      </c>
      <c r="E86" t="str">
        <f t="shared" si="6"/>
        <v>WR@</v>
      </c>
      <c r="F86" t="str" cm="1">
        <f t="array" ref="F86">_xlfn.IFS(E86="DEF","DEF",TRUE,LEFT(E86,2))</f>
        <v>WR</v>
      </c>
      <c r="G86">
        <f>COUNTIFS(F$1:F86,F86)</f>
        <v>27</v>
      </c>
      <c r="H86" t="str">
        <f t="shared" si="7"/>
        <v>WR 27</v>
      </c>
      <c r="I86" t="str">
        <f t="shared" si="8"/>
        <v>10.7</v>
      </c>
    </row>
    <row r="87" spans="1:9" x14ac:dyDescent="0.25">
      <c r="A87" s="4" t="s">
        <v>263</v>
      </c>
      <c r="B87" t="s">
        <v>915</v>
      </c>
      <c r="C87" t="str">
        <f t="shared" si="9"/>
        <v>Gabriel Davis BUF - WR@LAR Thu 8:20PM--2.552.527.5WR 2810.5</v>
      </c>
      <c r="D87" t="str">
        <f t="shared" si="5"/>
        <v>Gabriel Davis </v>
      </c>
      <c r="E87" t="str">
        <f t="shared" si="6"/>
        <v>WR@</v>
      </c>
      <c r="F87" t="str" cm="1">
        <f t="array" ref="F87">_xlfn.IFS(E87="DEF","DEF",TRUE,LEFT(E87,2))</f>
        <v>WR</v>
      </c>
      <c r="G87">
        <f>COUNTIFS(F$1:F87,F87)</f>
        <v>28</v>
      </c>
      <c r="H87" t="str">
        <f t="shared" si="7"/>
        <v>WR 28</v>
      </c>
      <c r="I87" t="str">
        <f t="shared" si="8"/>
        <v>10.5</v>
      </c>
    </row>
    <row r="88" spans="1:9" x14ac:dyDescent="0.25">
      <c r="A88" s="4" t="s">
        <v>266</v>
      </c>
      <c r="B88" t="s">
        <v>916</v>
      </c>
      <c r="C88" t="str">
        <f t="shared" si="9"/>
        <v>Amon-Ra St. Brown DET - WRPHI Sun 1:00PM-448.522.5WR 2910.5</v>
      </c>
      <c r="D88" t="str">
        <f t="shared" si="5"/>
        <v>Amon-Ra St. Brown </v>
      </c>
      <c r="E88" t="str">
        <f t="shared" si="6"/>
        <v>WRP</v>
      </c>
      <c r="F88" t="str" cm="1">
        <f t="array" ref="F88">_xlfn.IFS(E88="DEF","DEF",TRUE,LEFT(E88,2))</f>
        <v>WR</v>
      </c>
      <c r="G88">
        <f>COUNTIFS(F$1:F88,F88)</f>
        <v>29</v>
      </c>
      <c r="H88" t="str">
        <f t="shared" si="7"/>
        <v>WR 29</v>
      </c>
      <c r="I88" t="str">
        <f t="shared" si="8"/>
        <v>10.5</v>
      </c>
    </row>
    <row r="89" spans="1:9" x14ac:dyDescent="0.25">
      <c r="A89" s="4" t="s">
        <v>269</v>
      </c>
      <c r="B89" t="s">
        <v>917</v>
      </c>
      <c r="C89" t="str">
        <f t="shared" si="9"/>
        <v>JuJu Smith-Schuster KC - WR@ARI Sun 4:25PM--4.553.529WR 3010.4</v>
      </c>
      <c r="D89" t="str">
        <f t="shared" si="5"/>
        <v>JuJu Smith-Schuster</v>
      </c>
      <c r="E89" t="str">
        <f t="shared" si="6"/>
        <v>WR@</v>
      </c>
      <c r="F89" t="str" cm="1">
        <f t="array" ref="F89">_xlfn.IFS(E89="DEF","DEF",TRUE,LEFT(E89,2))</f>
        <v>WR</v>
      </c>
      <c r="G89">
        <f>COUNTIFS(F$1:F89,F89)</f>
        <v>30</v>
      </c>
      <c r="H89" t="str">
        <f t="shared" si="7"/>
        <v>WR 30</v>
      </c>
      <c r="I89" t="str">
        <f t="shared" si="8"/>
        <v>10.4</v>
      </c>
    </row>
    <row r="90" spans="1:9" x14ac:dyDescent="0.25">
      <c r="A90" s="4" t="s">
        <v>272</v>
      </c>
      <c r="B90" t="s">
        <v>918</v>
      </c>
      <c r="C90" t="str">
        <f t="shared" si="9"/>
        <v>Damien Harris NE - RB@MIA Sun 1:00PM-346.522RB 2610.4</v>
      </c>
      <c r="D90" t="str">
        <f t="shared" si="5"/>
        <v>Damien Harris</v>
      </c>
      <c r="E90" t="str">
        <f t="shared" si="6"/>
        <v>RB@</v>
      </c>
      <c r="F90" t="str" cm="1">
        <f t="array" ref="F90">_xlfn.IFS(E90="DEF","DEF",TRUE,LEFT(E90,2))</f>
        <v>RB</v>
      </c>
      <c r="G90">
        <f>COUNTIFS(F$1:F90,F90)</f>
        <v>26</v>
      </c>
      <c r="H90" t="str">
        <f t="shared" si="7"/>
        <v>RB 26</v>
      </c>
      <c r="I90" t="str">
        <f t="shared" si="8"/>
        <v>10.4</v>
      </c>
    </row>
    <row r="91" spans="1:9" x14ac:dyDescent="0.25">
      <c r="A91" s="4" t="s">
        <v>275</v>
      </c>
      <c r="B91" t="s">
        <v>919</v>
      </c>
      <c r="C91" t="str">
        <f t="shared" si="9"/>
        <v>Breece Hall NYJ - RBBAL Sun 1:00PM-744.519RB 2710.4</v>
      </c>
      <c r="D91" t="str">
        <f t="shared" si="5"/>
        <v>Breece Hall </v>
      </c>
      <c r="E91" t="str">
        <f t="shared" si="6"/>
        <v>RBB</v>
      </c>
      <c r="F91" t="str" cm="1">
        <f t="array" ref="F91">_xlfn.IFS(E91="DEF","DEF",TRUE,LEFT(E91,2))</f>
        <v>RB</v>
      </c>
      <c r="G91">
        <f>COUNTIFS(F$1:F91,F91)</f>
        <v>27</v>
      </c>
      <c r="H91" t="str">
        <f t="shared" si="7"/>
        <v>RB 27</v>
      </c>
      <c r="I91" t="str">
        <f t="shared" si="8"/>
        <v>10.4</v>
      </c>
    </row>
    <row r="92" spans="1:9" x14ac:dyDescent="0.25">
      <c r="A92" s="4" t="s">
        <v>278</v>
      </c>
      <c r="B92" t="s">
        <v>920</v>
      </c>
      <c r="C92" t="str">
        <f t="shared" si="9"/>
        <v>Clyde Edwards-Helaire KC - RB@ARI Sun 4:25PM--4.553.529RB 2810.3</v>
      </c>
      <c r="D92" t="str">
        <f t="shared" si="5"/>
        <v>Clyde Edwards-Helaire</v>
      </c>
      <c r="E92" t="str">
        <f t="shared" si="6"/>
        <v>RB@</v>
      </c>
      <c r="F92" t="str" cm="1">
        <f t="array" ref="F92">_xlfn.IFS(E92="DEF","DEF",TRUE,LEFT(E92,2))</f>
        <v>RB</v>
      </c>
      <c r="G92">
        <f>COUNTIFS(F$1:F92,F92)</f>
        <v>28</v>
      </c>
      <c r="H92" t="str">
        <f t="shared" si="7"/>
        <v>RB 28</v>
      </c>
      <c r="I92" t="str">
        <f t="shared" si="8"/>
        <v>10.3</v>
      </c>
    </row>
    <row r="93" spans="1:9" x14ac:dyDescent="0.25">
      <c r="A93" s="4" t="s">
        <v>281</v>
      </c>
      <c r="B93" t="s">
        <v>921</v>
      </c>
      <c r="C93" t="str">
        <f t="shared" si="9"/>
        <v>Dameon Pierce HOU - RBIND Sun 1:00PM-84619RB 2910.3</v>
      </c>
      <c r="D93" t="str">
        <f t="shared" si="5"/>
        <v>Dameon Pierce </v>
      </c>
      <c r="E93" t="str">
        <f t="shared" si="6"/>
        <v>RBI</v>
      </c>
      <c r="F93" t="str" cm="1">
        <f t="array" ref="F93">_xlfn.IFS(E93="DEF","DEF",TRUE,LEFT(E93,2))</f>
        <v>RB</v>
      </c>
      <c r="G93">
        <f>COUNTIFS(F$1:F93,F93)</f>
        <v>29</v>
      </c>
      <c r="H93" t="str">
        <f t="shared" si="7"/>
        <v>RB 29</v>
      </c>
      <c r="I93" t="str">
        <f t="shared" si="8"/>
        <v>10.3</v>
      </c>
    </row>
    <row r="94" spans="1:9" x14ac:dyDescent="0.25">
      <c r="A94" s="4" t="s">
        <v>284</v>
      </c>
      <c r="B94" t="s">
        <v>922</v>
      </c>
      <c r="C94" t="str">
        <f t="shared" si="9"/>
        <v>Miles Sanders PHI - RB@DET Sun 1:00PM--448.526.5RB 3010.3</v>
      </c>
      <c r="D94" t="str">
        <f t="shared" si="5"/>
        <v>Miles Sanders </v>
      </c>
      <c r="E94" t="str">
        <f t="shared" si="6"/>
        <v>RB@</v>
      </c>
      <c r="F94" t="str" cm="1">
        <f t="array" ref="F94">_xlfn.IFS(E94="DEF","DEF",TRUE,LEFT(E94,2))</f>
        <v>RB</v>
      </c>
      <c r="G94">
        <f>COUNTIFS(F$1:F94,F94)</f>
        <v>30</v>
      </c>
      <c r="H94" t="str">
        <f t="shared" si="7"/>
        <v>RB 30</v>
      </c>
      <c r="I94" t="str">
        <f t="shared" si="8"/>
        <v>10.3</v>
      </c>
    </row>
    <row r="95" spans="1:9" x14ac:dyDescent="0.25">
      <c r="A95" s="4" t="s">
        <v>287</v>
      </c>
      <c r="B95" t="s">
        <v>923</v>
      </c>
      <c r="C95" t="str">
        <f t="shared" si="9"/>
        <v>Elijah Moore NYJ - WRBAL Sun 1:00PM-744.519WR 3110.1</v>
      </c>
      <c r="D95" t="str">
        <f t="shared" si="5"/>
        <v>Elijah Moore </v>
      </c>
      <c r="E95" t="str">
        <f t="shared" si="6"/>
        <v>WRB</v>
      </c>
      <c r="F95" t="str" cm="1">
        <f t="array" ref="F95">_xlfn.IFS(E95="DEF","DEF",TRUE,LEFT(E95,2))</f>
        <v>WR</v>
      </c>
      <c r="G95">
        <f>COUNTIFS(F$1:F95,F95)</f>
        <v>31</v>
      </c>
      <c r="H95" t="str">
        <f t="shared" si="7"/>
        <v>WR 31</v>
      </c>
      <c r="I95" t="str">
        <f t="shared" si="8"/>
        <v>10.1</v>
      </c>
    </row>
    <row r="96" spans="1:9" x14ac:dyDescent="0.25">
      <c r="A96" s="4" t="s">
        <v>290</v>
      </c>
      <c r="B96" t="s">
        <v>924</v>
      </c>
      <c r="C96" t="str">
        <f t="shared" si="9"/>
        <v>Adam Thielen MIN - WRGB Sun 4:25PM-1.54823.5WR 3210.0</v>
      </c>
      <c r="D96" t="str">
        <f t="shared" si="5"/>
        <v>Adam Thielen </v>
      </c>
      <c r="E96" t="str">
        <f t="shared" si="6"/>
        <v>WRG</v>
      </c>
      <c r="F96" t="str" cm="1">
        <f t="array" ref="F96">_xlfn.IFS(E96="DEF","DEF",TRUE,LEFT(E96,2))</f>
        <v>WR</v>
      </c>
      <c r="G96">
        <f>COUNTIFS(F$1:F96,F96)</f>
        <v>32</v>
      </c>
      <c r="H96" t="str">
        <f t="shared" si="7"/>
        <v>WR 32</v>
      </c>
      <c r="I96" t="str">
        <f t="shared" si="8"/>
        <v>10.0</v>
      </c>
    </row>
    <row r="97" spans="1:9" x14ac:dyDescent="0.25">
      <c r="A97" s="4" t="s">
        <v>293</v>
      </c>
      <c r="B97" t="s">
        <v>925</v>
      </c>
      <c r="C97" t="str">
        <f t="shared" si="9"/>
        <v>Amari Cooper CLE - WR@CAR Sun 1:00PM-2.541.519.5WR 3310.0</v>
      </c>
      <c r="D97" t="str">
        <f t="shared" si="5"/>
        <v>Amari Cooper </v>
      </c>
      <c r="E97" t="str">
        <f t="shared" si="6"/>
        <v>WR@</v>
      </c>
      <c r="F97" t="str" cm="1">
        <f t="array" ref="F97">_xlfn.IFS(E97="DEF","DEF",TRUE,LEFT(E97,2))</f>
        <v>WR</v>
      </c>
      <c r="G97">
        <f>COUNTIFS(F$1:F97,F97)</f>
        <v>33</v>
      </c>
      <c r="H97" t="str">
        <f t="shared" si="7"/>
        <v>WR 33</v>
      </c>
      <c r="I97" t="str">
        <f t="shared" si="8"/>
        <v>10.0</v>
      </c>
    </row>
    <row r="98" spans="1:9" x14ac:dyDescent="0.25">
      <c r="A98" s="4" t="s">
        <v>296</v>
      </c>
      <c r="B98" t="s">
        <v>926</v>
      </c>
      <c r="C98" t="str">
        <f t="shared" si="9"/>
        <v>Allen Lazard GB - WR@MIN Sun 4:25PM--1.54825WR 3410.0</v>
      </c>
      <c r="D98" t="str">
        <f t="shared" si="5"/>
        <v>Allen Lazard</v>
      </c>
      <c r="E98" t="str">
        <f t="shared" si="6"/>
        <v>WR@</v>
      </c>
      <c r="F98" t="str" cm="1">
        <f t="array" ref="F98">_xlfn.IFS(E98="DEF","DEF",TRUE,LEFT(E98,2))</f>
        <v>WR</v>
      </c>
      <c r="G98">
        <f>COUNTIFS(F$1:F98,F98)</f>
        <v>34</v>
      </c>
      <c r="H98" t="str">
        <f t="shared" si="7"/>
        <v>WR 34</v>
      </c>
      <c r="I98" t="str">
        <f t="shared" si="8"/>
        <v>10.0</v>
      </c>
    </row>
    <row r="99" spans="1:9" x14ac:dyDescent="0.25">
      <c r="A99" s="4" t="s">
        <v>299</v>
      </c>
      <c r="B99" t="s">
        <v>927</v>
      </c>
      <c r="C99" t="str">
        <f t="shared" si="9"/>
        <v>Christian Kirk JAC - WR@WAS Sun 1:00PM-343.520.5WR 3510.0</v>
      </c>
      <c r="D99" t="str">
        <f t="shared" si="5"/>
        <v>Christian Kirk </v>
      </c>
      <c r="E99" t="str">
        <f t="shared" si="6"/>
        <v>WR@</v>
      </c>
      <c r="F99" t="str" cm="1">
        <f t="array" ref="F99">_xlfn.IFS(E99="DEF","DEF",TRUE,LEFT(E99,2))</f>
        <v>WR</v>
      </c>
      <c r="G99">
        <f>COUNTIFS(F$1:F99,F99)</f>
        <v>35</v>
      </c>
      <c r="H99" t="str">
        <f t="shared" si="7"/>
        <v>WR 35</v>
      </c>
      <c r="I99" t="str">
        <f t="shared" si="8"/>
        <v>10.0</v>
      </c>
    </row>
    <row r="100" spans="1:9" x14ac:dyDescent="0.25">
      <c r="A100" s="4" t="s">
        <v>302</v>
      </c>
      <c r="B100" t="s">
        <v>928</v>
      </c>
      <c r="C100" t="str">
        <f t="shared" si="9"/>
        <v>Kareem Hunt CLE - RB@CAR Sun 1:00PM-2.541.519.5RB 319.9</v>
      </c>
      <c r="D100" t="str">
        <f t="shared" si="5"/>
        <v>Kareem Hunt </v>
      </c>
      <c r="E100" t="str">
        <f t="shared" si="6"/>
        <v>RB@</v>
      </c>
      <c r="F100" t="str" cm="1">
        <f t="array" ref="F100">_xlfn.IFS(E100="DEF","DEF",TRUE,LEFT(E100,2))</f>
        <v>RB</v>
      </c>
      <c r="G100">
        <f>COUNTIFS(F$1:F100,F100)</f>
        <v>31</v>
      </c>
      <c r="H100" t="str">
        <f t="shared" si="7"/>
        <v>RB 31</v>
      </c>
      <c r="I100" t="str">
        <f t="shared" si="8"/>
        <v>9.9</v>
      </c>
    </row>
    <row r="101" spans="1:9" x14ac:dyDescent="0.25">
      <c r="A101" s="4" t="s">
        <v>305</v>
      </c>
      <c r="B101" t="s">
        <v>929</v>
      </c>
      <c r="C101" t="str">
        <f t="shared" si="9"/>
        <v>Rhamondre Stevenson NE - RB@MIA Sun 1:00PM-346.522RB 329.9</v>
      </c>
      <c r="D101" t="str">
        <f t="shared" si="5"/>
        <v>Rhamondre Stevenson</v>
      </c>
      <c r="E101" t="str">
        <f t="shared" si="6"/>
        <v>RB@</v>
      </c>
      <c r="F101" t="str" cm="1">
        <f t="array" ref="F101">_xlfn.IFS(E101="DEF","DEF",TRUE,LEFT(E101,2))</f>
        <v>RB</v>
      </c>
      <c r="G101">
        <f>COUNTIFS(F$1:F101,F101)</f>
        <v>32</v>
      </c>
      <c r="H101" t="str">
        <f t="shared" si="7"/>
        <v>RB 32</v>
      </c>
      <c r="I101" t="str">
        <f t="shared" si="8"/>
        <v>9.9</v>
      </c>
    </row>
    <row r="102" spans="1:9" x14ac:dyDescent="0.25">
      <c r="A102" s="4" t="s">
        <v>308</v>
      </c>
      <c r="B102" t="s">
        <v>930</v>
      </c>
      <c r="C102" t="str">
        <f t="shared" si="9"/>
        <v>DeVonta Smith PHI - WR@DET Sun 1:00PM--448.526.5WR 369.8</v>
      </c>
      <c r="D102" t="str">
        <f t="shared" si="5"/>
        <v>DeVonta Smith </v>
      </c>
      <c r="E102" t="str">
        <f t="shared" si="6"/>
        <v>WR@</v>
      </c>
      <c r="F102" t="str" cm="1">
        <f t="array" ref="F102">_xlfn.IFS(E102="DEF","DEF",TRUE,LEFT(E102,2))</f>
        <v>WR</v>
      </c>
      <c r="G102">
        <f>COUNTIFS(F$1:F102,F102)</f>
        <v>36</v>
      </c>
      <c r="H102" t="str">
        <f t="shared" si="7"/>
        <v>WR 36</v>
      </c>
      <c r="I102" t="str">
        <f t="shared" si="8"/>
        <v>9.8</v>
      </c>
    </row>
    <row r="103" spans="1:9" x14ac:dyDescent="0.25">
      <c r="A103" s="4" t="s">
        <v>311</v>
      </c>
      <c r="B103" t="s">
        <v>931</v>
      </c>
      <c r="C103" t="str">
        <f t="shared" si="9"/>
        <v>Kyle Pitts ATL - TENO Sun 1:00PM-5.542.518.5TE 39.7</v>
      </c>
      <c r="D103" t="str">
        <f t="shared" si="5"/>
        <v>Kyle Pitts </v>
      </c>
      <c r="E103" t="str">
        <f t="shared" si="6"/>
        <v>TEN</v>
      </c>
      <c r="F103" t="str" cm="1">
        <f t="array" ref="F103">_xlfn.IFS(E103="DEF","DEF",TRUE,LEFT(E103,2))</f>
        <v>TE</v>
      </c>
      <c r="G103">
        <f>COUNTIFS(F$1:F103,F103)</f>
        <v>3</v>
      </c>
      <c r="H103" t="str">
        <f t="shared" si="7"/>
        <v>TE 3</v>
      </c>
      <c r="I103" t="str">
        <f t="shared" si="8"/>
        <v>9.7</v>
      </c>
    </row>
    <row r="104" spans="1:9" x14ac:dyDescent="0.25">
      <c r="A104" s="4" t="s">
        <v>314</v>
      </c>
      <c r="B104" t="s">
        <v>932</v>
      </c>
      <c r="C104" t="str">
        <f t="shared" si="9"/>
        <v>Cordarrelle Patterson ATL - RBNO Sun 1:00PM-5.542.518.5RB 339.6</v>
      </c>
      <c r="D104" t="str">
        <f t="shared" si="5"/>
        <v>Cordarrelle Patterson </v>
      </c>
      <c r="E104" t="str">
        <f t="shared" si="6"/>
        <v>RBN</v>
      </c>
      <c r="F104" t="str" cm="1">
        <f t="array" ref="F104">_xlfn.IFS(E104="DEF","DEF",TRUE,LEFT(E104,2))</f>
        <v>RB</v>
      </c>
      <c r="G104">
        <f>COUNTIFS(F$1:F104,F104)</f>
        <v>33</v>
      </c>
      <c r="H104" t="str">
        <f t="shared" si="7"/>
        <v>RB 33</v>
      </c>
      <c r="I104" t="str">
        <f t="shared" si="8"/>
        <v>9.6</v>
      </c>
    </row>
    <row r="105" spans="1:9" x14ac:dyDescent="0.25">
      <c r="A105" s="4" t="s">
        <v>317</v>
      </c>
      <c r="B105" t="s">
        <v>933</v>
      </c>
      <c r="C105" t="str">
        <f t="shared" si="9"/>
        <v>Tony Pollard DAL - RBTB Sun 8:20PM-1.55024.5RB 349.6</v>
      </c>
      <c r="D105" t="str">
        <f t="shared" si="5"/>
        <v>Tony Pollard </v>
      </c>
      <c r="E105" t="str">
        <f t="shared" si="6"/>
        <v>RBT</v>
      </c>
      <c r="F105" t="str" cm="1">
        <f t="array" ref="F105">_xlfn.IFS(E105="DEF","DEF",TRUE,LEFT(E105,2))</f>
        <v>RB</v>
      </c>
      <c r="G105">
        <f>COUNTIFS(F$1:F105,F105)</f>
        <v>34</v>
      </c>
      <c r="H105" t="str">
        <f t="shared" si="7"/>
        <v>RB 34</v>
      </c>
      <c r="I105" t="str">
        <f t="shared" si="8"/>
        <v>9.6</v>
      </c>
    </row>
    <row r="106" spans="1:9" x14ac:dyDescent="0.25">
      <c r="A106" s="4" t="s">
        <v>320</v>
      </c>
      <c r="B106" t="s">
        <v>934</v>
      </c>
      <c r="C106" t="str">
        <f t="shared" si="9"/>
        <v>Hunter Renfrow LV - WR@LAC Sun 4:25PM-3.552.524.5WR 379.4</v>
      </c>
      <c r="D106" t="str">
        <f t="shared" si="5"/>
        <v>Hunter Renfrow</v>
      </c>
      <c r="E106" t="str">
        <f t="shared" si="6"/>
        <v>WR@</v>
      </c>
      <c r="F106" t="str" cm="1">
        <f t="array" ref="F106">_xlfn.IFS(E106="DEF","DEF",TRUE,LEFT(E106,2))</f>
        <v>WR</v>
      </c>
      <c r="G106">
        <f>COUNTIFS(F$1:F106,F106)</f>
        <v>37</v>
      </c>
      <c r="H106" t="str">
        <f t="shared" si="7"/>
        <v>WR 37</v>
      </c>
      <c r="I106" t="str">
        <f t="shared" si="8"/>
        <v>9.4</v>
      </c>
    </row>
    <row r="107" spans="1:9" x14ac:dyDescent="0.25">
      <c r="A107" s="4" t="s">
        <v>323</v>
      </c>
      <c r="B107" t="s">
        <v>935</v>
      </c>
      <c r="C107" t="str">
        <f t="shared" si="9"/>
        <v>Brandon Aiyuk SF - WR@CHI Sun 1:00PM--74124WR 389.3</v>
      </c>
      <c r="D107" t="str">
        <f t="shared" si="5"/>
        <v>Brandon Aiyuk</v>
      </c>
      <c r="E107" t="str">
        <f t="shared" si="6"/>
        <v>WR@</v>
      </c>
      <c r="F107" t="str" cm="1">
        <f t="array" ref="F107">_xlfn.IFS(E107="DEF","DEF",TRUE,LEFT(E107,2))</f>
        <v>WR</v>
      </c>
      <c r="G107">
        <f>COUNTIFS(F$1:F107,F107)</f>
        <v>38</v>
      </c>
      <c r="H107" t="str">
        <f t="shared" si="7"/>
        <v>WR 38</v>
      </c>
      <c r="I107" t="str">
        <f t="shared" si="8"/>
        <v>9.3</v>
      </c>
    </row>
    <row r="108" spans="1:9" x14ac:dyDescent="0.25">
      <c r="A108" s="4" t="s">
        <v>326</v>
      </c>
      <c r="B108" t="s">
        <v>936</v>
      </c>
      <c r="C108" t="str">
        <f t="shared" si="9"/>
        <v>George Kittle SF - TE@CHI Sun 1:00PM--74124TE 49.3</v>
      </c>
      <c r="D108" t="str">
        <f t="shared" si="5"/>
        <v>George Kittle</v>
      </c>
      <c r="E108" t="str">
        <f t="shared" si="6"/>
        <v>TE@</v>
      </c>
      <c r="F108" t="str" cm="1">
        <f t="array" ref="F108">_xlfn.IFS(E108="DEF","DEF",TRUE,LEFT(E108,2))</f>
        <v>TE</v>
      </c>
      <c r="G108">
        <f>COUNTIFS(F$1:F108,F108)</f>
        <v>4</v>
      </c>
      <c r="H108" t="str">
        <f t="shared" si="7"/>
        <v>TE 4</v>
      </c>
      <c r="I108" t="str">
        <f t="shared" si="8"/>
        <v>9.3</v>
      </c>
    </row>
    <row r="109" spans="1:9" x14ac:dyDescent="0.25">
      <c r="A109" s="4" t="s">
        <v>329</v>
      </c>
      <c r="B109" t="s">
        <v>937</v>
      </c>
      <c r="C109" t="str">
        <f t="shared" si="9"/>
        <v>Tyler Lockett SEA - WRDEN Mon 8:15PM-6.54318.5WR 399.3</v>
      </c>
      <c r="D109" t="str">
        <f t="shared" si="5"/>
        <v>Tyler Lockett </v>
      </c>
      <c r="E109" t="str">
        <f t="shared" si="6"/>
        <v>WRD</v>
      </c>
      <c r="F109" t="str" cm="1">
        <f t="array" ref="F109">_xlfn.IFS(E109="DEF","DEF",TRUE,LEFT(E109,2))</f>
        <v>WR</v>
      </c>
      <c r="G109">
        <f>COUNTIFS(F$1:F109,F109)</f>
        <v>39</v>
      </c>
      <c r="H109" t="str">
        <f t="shared" si="7"/>
        <v>WR 39</v>
      </c>
      <c r="I109" t="str">
        <f t="shared" si="8"/>
        <v>9.3</v>
      </c>
    </row>
    <row r="110" spans="1:9" x14ac:dyDescent="0.25">
      <c r="A110" s="4" t="s">
        <v>332</v>
      </c>
      <c r="B110" t="s">
        <v>938</v>
      </c>
      <c r="C110" t="str">
        <f t="shared" si="9"/>
        <v>Robert Woods TEN - WRNYG Sun 4:25PM--5.543.524.5WR 409.2</v>
      </c>
      <c r="D110" t="str">
        <f t="shared" si="5"/>
        <v>Robert Woods </v>
      </c>
      <c r="E110" t="str">
        <f t="shared" si="6"/>
        <v>WRN</v>
      </c>
      <c r="F110" t="str" cm="1">
        <f t="array" ref="F110">_xlfn.IFS(E110="DEF","DEF",TRUE,LEFT(E110,2))</f>
        <v>WR</v>
      </c>
      <c r="G110">
        <f>COUNTIFS(F$1:F110,F110)</f>
        <v>40</v>
      </c>
      <c r="H110" t="str">
        <f t="shared" si="7"/>
        <v>WR 40</v>
      </c>
      <c r="I110" t="str">
        <f t="shared" si="8"/>
        <v>9.2</v>
      </c>
    </row>
    <row r="111" spans="1:9" x14ac:dyDescent="0.25">
      <c r="A111" s="4" t="s">
        <v>335</v>
      </c>
      <c r="B111" t="s">
        <v>939</v>
      </c>
      <c r="C111" t="str">
        <f t="shared" si="9"/>
        <v>Drake London ATL - WRNO Sun 1:00PM-5.542.518.5WR 419.1</v>
      </c>
      <c r="D111" t="str">
        <f t="shared" si="5"/>
        <v>Drake London </v>
      </c>
      <c r="E111" t="str">
        <f t="shared" si="6"/>
        <v>WRN</v>
      </c>
      <c r="F111" t="str" cm="1">
        <f t="array" ref="F111">_xlfn.IFS(E111="DEF","DEF",TRUE,LEFT(E111,2))</f>
        <v>WR</v>
      </c>
      <c r="G111">
        <f>COUNTIFS(F$1:F111,F111)</f>
        <v>41</v>
      </c>
      <c r="H111" t="str">
        <f t="shared" si="7"/>
        <v>WR 41</v>
      </c>
      <c r="I111" t="str">
        <f t="shared" si="8"/>
        <v>9.1</v>
      </c>
    </row>
    <row r="112" spans="1:9" x14ac:dyDescent="0.25">
      <c r="A112" s="4" t="s">
        <v>338</v>
      </c>
      <c r="B112" t="s">
        <v>940</v>
      </c>
      <c r="C112" t="str">
        <f t="shared" si="9"/>
        <v>Dalton Schultz DAL - TETB Sun 8:20PM-1.55024.5TE 59.0</v>
      </c>
      <c r="D112" t="str">
        <f t="shared" si="5"/>
        <v>Dalton Schultz </v>
      </c>
      <c r="E112" t="str">
        <f t="shared" si="6"/>
        <v>TET</v>
      </c>
      <c r="F112" t="str" cm="1">
        <f t="array" ref="F112">_xlfn.IFS(E112="DEF","DEF",TRUE,LEFT(E112,2))</f>
        <v>TE</v>
      </c>
      <c r="G112">
        <f>COUNTIFS(F$1:F112,F112)</f>
        <v>5</v>
      </c>
      <c r="H112" t="str">
        <f t="shared" si="7"/>
        <v>TE 5</v>
      </c>
      <c r="I112" t="str">
        <f t="shared" si="8"/>
        <v>9.0</v>
      </c>
    </row>
    <row r="113" spans="1:9" x14ac:dyDescent="0.25">
      <c r="A113" s="4" t="s">
        <v>341</v>
      </c>
      <c r="B113" t="s">
        <v>941</v>
      </c>
      <c r="C113" t="str">
        <f t="shared" si="9"/>
        <v>Chris Godwin TB - WR@DAL Sun 8:20PM--1.55026WR 429.0</v>
      </c>
      <c r="D113" t="str">
        <f t="shared" si="5"/>
        <v>Chris Godwin</v>
      </c>
      <c r="E113" t="str">
        <f t="shared" si="6"/>
        <v>WR@</v>
      </c>
      <c r="F113" t="str" cm="1">
        <f t="array" ref="F113">_xlfn.IFS(E113="DEF","DEF",TRUE,LEFT(E113,2))</f>
        <v>WR</v>
      </c>
      <c r="G113">
        <f>COUNTIFS(F$1:F113,F113)</f>
        <v>42</v>
      </c>
      <c r="H113" t="str">
        <f t="shared" si="7"/>
        <v>WR 42</v>
      </c>
      <c r="I113" t="str">
        <f t="shared" si="8"/>
        <v>9.0</v>
      </c>
    </row>
    <row r="114" spans="1:9" x14ac:dyDescent="0.25">
      <c r="A114" s="4" t="s">
        <v>344</v>
      </c>
      <c r="B114" t="s">
        <v>942</v>
      </c>
      <c r="C114" t="str">
        <f t="shared" si="9"/>
        <v>Kadarius Toney NYG - WR@TEN Sun 4:25PM-5.543.519WR 439.0</v>
      </c>
      <c r="D114" t="str">
        <f t="shared" si="5"/>
        <v>Kadarius Toney </v>
      </c>
      <c r="E114" t="str">
        <f t="shared" si="6"/>
        <v>WR@</v>
      </c>
      <c r="F114" t="str" cm="1">
        <f t="array" ref="F114">_xlfn.IFS(E114="DEF","DEF",TRUE,LEFT(E114,2))</f>
        <v>WR</v>
      </c>
      <c r="G114">
        <f>COUNTIFS(F$1:F114,F114)</f>
        <v>43</v>
      </c>
      <c r="H114" t="str">
        <f t="shared" si="7"/>
        <v>WR 43</v>
      </c>
      <c r="I114" t="str">
        <f t="shared" si="8"/>
        <v>9.0</v>
      </c>
    </row>
    <row r="115" spans="1:9" x14ac:dyDescent="0.25">
      <c r="A115" s="4" t="s">
        <v>347</v>
      </c>
      <c r="B115" t="s">
        <v>943</v>
      </c>
      <c r="C115" t="str">
        <f t="shared" si="9"/>
        <v>Chris Olave NO - WR@ATL Sun 1:00PM--5.542.524WR 449.0</v>
      </c>
      <c r="D115" t="str">
        <f t="shared" si="5"/>
        <v>Chris Olave</v>
      </c>
      <c r="E115" t="str">
        <f t="shared" si="6"/>
        <v>WR@</v>
      </c>
      <c r="F115" t="str" cm="1">
        <f t="array" ref="F115">_xlfn.IFS(E115="DEF","DEF",TRUE,LEFT(E115,2))</f>
        <v>WR</v>
      </c>
      <c r="G115">
        <f>COUNTIFS(F$1:F115,F115)</f>
        <v>44</v>
      </c>
      <c r="H115" t="str">
        <f t="shared" si="7"/>
        <v>WR 44</v>
      </c>
      <c r="I115" t="str">
        <f t="shared" si="8"/>
        <v>9.0</v>
      </c>
    </row>
    <row r="116" spans="1:9" x14ac:dyDescent="0.25">
      <c r="A116" s="4" t="s">
        <v>350</v>
      </c>
      <c r="B116" t="s">
        <v>944</v>
      </c>
      <c r="C116" t="str">
        <f t="shared" si="9"/>
        <v>Devin Singletary BUF - RB@LAR Thu 8:20PM--2.552.527.5RB 359.0</v>
      </c>
      <c r="D116" t="str">
        <f t="shared" si="5"/>
        <v>Devin Singletary </v>
      </c>
      <c r="E116" t="str">
        <f t="shared" si="6"/>
        <v>RB@</v>
      </c>
      <c r="F116" t="str" cm="1">
        <f t="array" ref="F116">_xlfn.IFS(E116="DEF","DEF",TRUE,LEFT(E116,2))</f>
        <v>RB</v>
      </c>
      <c r="G116">
        <f>COUNTIFS(F$1:F116,F116)</f>
        <v>35</v>
      </c>
      <c r="H116" t="str">
        <f t="shared" si="7"/>
        <v>RB 35</v>
      </c>
      <c r="I116" t="str">
        <f t="shared" si="8"/>
        <v>9.0</v>
      </c>
    </row>
    <row r="117" spans="1:9" x14ac:dyDescent="0.25">
      <c r="A117" s="4" t="s">
        <v>353</v>
      </c>
      <c r="B117" t="s">
        <v>945</v>
      </c>
      <c r="C117" t="str">
        <f t="shared" si="9"/>
        <v>Melvin Gordon III DEN - RB@SEA Mon 8:15PM--6.54325RB 368.9</v>
      </c>
      <c r="D117" t="str">
        <f t="shared" si="5"/>
        <v>Melvin Gordon III </v>
      </c>
      <c r="E117" t="str">
        <f t="shared" si="6"/>
        <v>RB@</v>
      </c>
      <c r="F117" t="str" cm="1">
        <f t="array" ref="F117">_xlfn.IFS(E117="DEF","DEF",TRUE,LEFT(E117,2))</f>
        <v>RB</v>
      </c>
      <c r="G117">
        <f>COUNTIFS(F$1:F117,F117)</f>
        <v>36</v>
      </c>
      <c r="H117" t="str">
        <f t="shared" si="7"/>
        <v>RB 36</v>
      </c>
      <c r="I117" t="str">
        <f t="shared" si="8"/>
        <v>8.9</v>
      </c>
    </row>
    <row r="118" spans="1:9" x14ac:dyDescent="0.25">
      <c r="A118" s="4" t="s">
        <v>356</v>
      </c>
      <c r="B118" t="s">
        <v>946</v>
      </c>
      <c r="C118" t="str">
        <f t="shared" si="9"/>
        <v>Chase Claypool PIT - WR@CIN Sun 1:00PM-6.544.519WR 458.9</v>
      </c>
      <c r="D118" t="str">
        <f t="shared" si="5"/>
        <v>Chase Claypool </v>
      </c>
      <c r="E118" t="str">
        <f t="shared" si="6"/>
        <v>WR@</v>
      </c>
      <c r="F118" t="str" cm="1">
        <f t="array" ref="F118">_xlfn.IFS(E118="DEF","DEF",TRUE,LEFT(E118,2))</f>
        <v>WR</v>
      </c>
      <c r="G118">
        <f>COUNTIFS(F$1:F118,F118)</f>
        <v>45</v>
      </c>
      <c r="H118" t="str">
        <f t="shared" si="7"/>
        <v>WR 45</v>
      </c>
      <c r="I118" t="str">
        <f t="shared" si="8"/>
        <v>8.9</v>
      </c>
    </row>
    <row r="119" spans="1:9" x14ac:dyDescent="0.25">
      <c r="A119" s="4" t="s">
        <v>359</v>
      </c>
      <c r="B119" t="s">
        <v>947</v>
      </c>
      <c r="C119" t="str">
        <f t="shared" si="9"/>
        <v>Darren Waller LV - TE@LAC Sun 4:25PM-3.552.524.5TE 68.8</v>
      </c>
      <c r="D119" t="str">
        <f t="shared" si="5"/>
        <v>Darren Waller</v>
      </c>
      <c r="E119" t="str">
        <f t="shared" si="6"/>
        <v>TE@</v>
      </c>
      <c r="F119" t="str" cm="1">
        <f t="array" ref="F119">_xlfn.IFS(E119="DEF","DEF",TRUE,LEFT(E119,2))</f>
        <v>TE</v>
      </c>
      <c r="G119">
        <f>COUNTIFS(F$1:F119,F119)</f>
        <v>6</v>
      </c>
      <c r="H119" t="str">
        <f t="shared" si="7"/>
        <v>TE 6</v>
      </c>
      <c r="I119" t="str">
        <f t="shared" si="8"/>
        <v>8.8</v>
      </c>
    </row>
    <row r="120" spans="1:9" x14ac:dyDescent="0.25">
      <c r="A120" s="4" t="s">
        <v>362</v>
      </c>
      <c r="B120" t="s">
        <v>948</v>
      </c>
      <c r="C120" t="str">
        <f t="shared" si="9"/>
        <v>San Francisco 49ers SF - DEF@CHI Sun 1:00PM--74124DEF 18.6</v>
      </c>
      <c r="D120" t="str">
        <f t="shared" si="5"/>
        <v>San Francisco 49ers</v>
      </c>
      <c r="E120" t="str">
        <f t="shared" si="6"/>
        <v>DEF</v>
      </c>
      <c r="F120" t="str" cm="1">
        <f t="array" ref="F120">_xlfn.IFS(E120="DEF","DEF",TRUE,LEFT(E120,2))</f>
        <v>DEF</v>
      </c>
      <c r="G120">
        <f>COUNTIFS(F$1:F120,F120)</f>
        <v>1</v>
      </c>
      <c r="H120" t="str">
        <f t="shared" si="7"/>
        <v>DEF 1</v>
      </c>
      <c r="I120" t="str">
        <f t="shared" si="8"/>
        <v>8.6</v>
      </c>
    </row>
    <row r="121" spans="1:9" x14ac:dyDescent="0.25">
      <c r="A121" s="4" t="s">
        <v>365</v>
      </c>
      <c r="B121" t="s">
        <v>949</v>
      </c>
      <c r="C121" t="str">
        <f t="shared" si="9"/>
        <v>Dallas Goedert PHI - TE@DET Sun 1:00PM--448.526.5TE 78.6</v>
      </c>
      <c r="D121" t="str">
        <f t="shared" si="5"/>
        <v>Dallas Goedert </v>
      </c>
      <c r="E121" t="str">
        <f t="shared" si="6"/>
        <v>TE@</v>
      </c>
      <c r="F121" t="str" cm="1">
        <f t="array" ref="F121">_xlfn.IFS(E121="DEF","DEF",TRUE,LEFT(E121,2))</f>
        <v>TE</v>
      </c>
      <c r="G121">
        <f>COUNTIFS(F$1:F121,F121)</f>
        <v>7</v>
      </c>
      <c r="H121" t="str">
        <f t="shared" si="7"/>
        <v>TE 7</v>
      </c>
      <c r="I121" t="str">
        <f t="shared" si="8"/>
        <v>8.6</v>
      </c>
    </row>
    <row r="122" spans="1:9" x14ac:dyDescent="0.25">
      <c r="A122" s="4" t="s">
        <v>368</v>
      </c>
      <c r="B122" t="s">
        <v>950</v>
      </c>
      <c r="C122" t="str">
        <f t="shared" si="9"/>
        <v>Zach Wilson NYJ - QBBAL Sun 1:00PM-744.519QB 338.5</v>
      </c>
      <c r="D122" t="str">
        <f t="shared" si="5"/>
        <v>Zach Wilson </v>
      </c>
      <c r="E122" t="str">
        <f t="shared" si="6"/>
        <v>QBB</v>
      </c>
      <c r="F122" t="str" cm="1">
        <f t="array" ref="F122">_xlfn.IFS(E122="DEF","DEF",TRUE,LEFT(E122,2))</f>
        <v>QB</v>
      </c>
      <c r="G122">
        <f>COUNTIFS(F$1:F122,F122)</f>
        <v>33</v>
      </c>
      <c r="H122" t="str">
        <f t="shared" si="7"/>
        <v>QB 33</v>
      </c>
      <c r="I122" t="str">
        <f t="shared" si="8"/>
        <v>8.5</v>
      </c>
    </row>
    <row r="123" spans="1:9" x14ac:dyDescent="0.25">
      <c r="A123" s="4" t="s">
        <v>371</v>
      </c>
      <c r="B123" t="s">
        <v>951</v>
      </c>
      <c r="C123" t="str">
        <f t="shared" si="9"/>
        <v>Tyler Boyd CIN - WRPIT Sun 1:00PM--6.544.525.5WR 468.5</v>
      </c>
      <c r="D123" t="str">
        <f t="shared" si="5"/>
        <v>Tyler Boyd </v>
      </c>
      <c r="E123" t="str">
        <f t="shared" si="6"/>
        <v>WRP</v>
      </c>
      <c r="F123" t="str" cm="1">
        <f t="array" ref="F123">_xlfn.IFS(E123="DEF","DEF",TRUE,LEFT(E123,2))</f>
        <v>WR</v>
      </c>
      <c r="G123">
        <f>COUNTIFS(F$1:F123,F123)</f>
        <v>46</v>
      </c>
      <c r="H123" t="str">
        <f t="shared" si="7"/>
        <v>WR 46</v>
      </c>
      <c r="I123" t="str">
        <f t="shared" si="8"/>
        <v>8.5</v>
      </c>
    </row>
    <row r="124" spans="1:9" x14ac:dyDescent="0.25">
      <c r="A124" s="4" t="s">
        <v>374</v>
      </c>
      <c r="B124" t="s">
        <v>952</v>
      </c>
      <c r="C124" t="str">
        <f t="shared" si="9"/>
        <v>Marquez Valdes-Scantling KC - WR@ARI Sun 4:25PM--4.553.529WR 478.4</v>
      </c>
      <c r="D124" t="str">
        <f t="shared" si="5"/>
        <v>Marquez Valdes-Scantling</v>
      </c>
      <c r="E124" t="str">
        <f t="shared" si="6"/>
        <v>WR@</v>
      </c>
      <c r="F124" t="str" cm="1">
        <f t="array" ref="F124">_xlfn.IFS(E124="DEF","DEF",TRUE,LEFT(E124,2))</f>
        <v>WR</v>
      </c>
      <c r="G124">
        <f>COUNTIFS(F$1:F124,F124)</f>
        <v>47</v>
      </c>
      <c r="H124" t="str">
        <f t="shared" si="7"/>
        <v>WR 47</v>
      </c>
      <c r="I124" t="str">
        <f t="shared" si="8"/>
        <v>8.4</v>
      </c>
    </row>
    <row r="125" spans="1:9" x14ac:dyDescent="0.25">
      <c r="A125" s="4" t="s">
        <v>377</v>
      </c>
      <c r="B125" t="s">
        <v>953</v>
      </c>
      <c r="C125" t="str">
        <f t="shared" si="9"/>
        <v>Michael Carter NYJ - RBBAL Sun 1:00PM-744.519RB 378.4</v>
      </c>
      <c r="D125" t="str">
        <f t="shared" si="5"/>
        <v>Michael Carter </v>
      </c>
      <c r="E125" t="str">
        <f t="shared" si="6"/>
        <v>RBB</v>
      </c>
      <c r="F125" t="str" cm="1">
        <f t="array" ref="F125">_xlfn.IFS(E125="DEF","DEF",TRUE,LEFT(E125,2))</f>
        <v>RB</v>
      </c>
      <c r="G125">
        <f>COUNTIFS(F$1:F125,F125)</f>
        <v>37</v>
      </c>
      <c r="H125" t="str">
        <f t="shared" si="7"/>
        <v>RB 37</v>
      </c>
      <c r="I125" t="str">
        <f t="shared" si="8"/>
        <v>8.4</v>
      </c>
    </row>
    <row r="126" spans="1:9" x14ac:dyDescent="0.25">
      <c r="A126" s="4" t="s">
        <v>380</v>
      </c>
      <c r="B126" t="s">
        <v>954</v>
      </c>
      <c r="C126" t="str">
        <f t="shared" si="9"/>
        <v>Jakobi Meyers NE - WR@MIA Sun 1:00PM-346.522WR 488.4</v>
      </c>
      <c r="D126" t="str">
        <f t="shared" si="5"/>
        <v>Jakobi Meyers</v>
      </c>
      <c r="E126" t="str">
        <f t="shared" si="6"/>
        <v>WR@</v>
      </c>
      <c r="F126" t="str" cm="1">
        <f t="array" ref="F126">_xlfn.IFS(E126="DEF","DEF",TRUE,LEFT(E126,2))</f>
        <v>WR</v>
      </c>
      <c r="G126">
        <f>COUNTIFS(F$1:F126,F126)</f>
        <v>48</v>
      </c>
      <c r="H126" t="str">
        <f t="shared" si="7"/>
        <v>WR 48</v>
      </c>
      <c r="I126" t="str">
        <f t="shared" si="8"/>
        <v>8.4</v>
      </c>
    </row>
    <row r="127" spans="1:9" x14ac:dyDescent="0.25">
      <c r="A127" s="4" t="s">
        <v>383</v>
      </c>
      <c r="B127" t="s">
        <v>955</v>
      </c>
      <c r="C127" t="str">
        <f t="shared" si="9"/>
        <v>Darrell Henderson Jr. LAR - RBBUF Thu 8:20PM-2.552.525RB 388.2</v>
      </c>
      <c r="D127" t="str">
        <f t="shared" si="5"/>
        <v>Darrell Henderson Jr. </v>
      </c>
      <c r="E127" t="str">
        <f t="shared" si="6"/>
        <v>RBB</v>
      </c>
      <c r="F127" t="str" cm="1">
        <f t="array" ref="F127">_xlfn.IFS(E127="DEF","DEF",TRUE,LEFT(E127,2))</f>
        <v>RB</v>
      </c>
      <c r="G127">
        <f>COUNTIFS(F$1:F127,F127)</f>
        <v>38</v>
      </c>
      <c r="H127" t="str">
        <f t="shared" si="7"/>
        <v>RB 38</v>
      </c>
      <c r="I127" t="str">
        <f t="shared" si="8"/>
        <v>8.2</v>
      </c>
    </row>
    <row r="128" spans="1:9" x14ac:dyDescent="0.25">
      <c r="A128" s="4" t="s">
        <v>386</v>
      </c>
      <c r="B128" t="s">
        <v>956</v>
      </c>
      <c r="C128" t="str">
        <f t="shared" si="9"/>
        <v>Nyheim Hines IND - RB@HOU Sun 1:00PM--84627RB 398.1</v>
      </c>
      <c r="D128" t="str">
        <f t="shared" si="5"/>
        <v>Nyheim Hines </v>
      </c>
      <c r="E128" t="str">
        <f t="shared" si="6"/>
        <v>RB@</v>
      </c>
      <c r="F128" t="str" cm="1">
        <f t="array" ref="F128">_xlfn.IFS(E128="DEF","DEF",TRUE,LEFT(E128,2))</f>
        <v>RB</v>
      </c>
      <c r="G128">
        <f>COUNTIFS(F$1:F128,F128)</f>
        <v>39</v>
      </c>
      <c r="H128" t="str">
        <f t="shared" si="7"/>
        <v>RB 39</v>
      </c>
      <c r="I128" t="str">
        <f t="shared" si="8"/>
        <v>8.1</v>
      </c>
    </row>
    <row r="129" spans="1:9" x14ac:dyDescent="0.25">
      <c r="A129" s="4" t="s">
        <v>389</v>
      </c>
      <c r="B129" t="s">
        <v>957</v>
      </c>
      <c r="C129" t="str">
        <f t="shared" si="9"/>
        <v>Jarvis Landry NO - WR@ATL Sun 1:00PM--5.542.524WR 498.1</v>
      </c>
      <c r="D129" t="str">
        <f t="shared" si="5"/>
        <v>Jarvis Landry</v>
      </c>
      <c r="E129" t="str">
        <f t="shared" si="6"/>
        <v>WR@</v>
      </c>
      <c r="F129" t="str" cm="1">
        <f t="array" ref="F129">_xlfn.IFS(E129="DEF","DEF",TRUE,LEFT(E129,2))</f>
        <v>WR</v>
      </c>
      <c r="G129">
        <f>COUNTIFS(F$1:F129,F129)</f>
        <v>49</v>
      </c>
      <c r="H129" t="str">
        <f t="shared" si="7"/>
        <v>WR 49</v>
      </c>
      <c r="I129" t="str">
        <f t="shared" si="8"/>
        <v>8.1</v>
      </c>
    </row>
    <row r="130" spans="1:9" x14ac:dyDescent="0.25">
      <c r="A130" s="4" t="s">
        <v>392</v>
      </c>
      <c r="B130" t="s">
        <v>958</v>
      </c>
      <c r="C130" t="str">
        <f t="shared" si="9"/>
        <v>Denver Broncos DEN - DEF@SEA Mon 8:15PM--6.54325DEF 28.0</v>
      </c>
      <c r="D130" t="str">
        <f t="shared" ref="D130:D193" si="10">TRIM(LEFT(C130,FIND(" - ",C130) - 4))</f>
        <v>Denver Broncos </v>
      </c>
      <c r="E130" t="str">
        <f t="shared" ref="E130:E193" si="11">MID(C130,FIND(" - ",C130)+3,3)</f>
        <v>DEF</v>
      </c>
      <c r="F130" t="str" cm="1">
        <f t="array" ref="F130">_xlfn.IFS(E130="DEF","DEF",TRUE,LEFT(E130,2))</f>
        <v>DEF</v>
      </c>
      <c r="G130">
        <f>COUNTIFS(F$1:F130,F130)</f>
        <v>2</v>
      </c>
      <c r="H130" t="str">
        <f t="shared" ref="H130:H193" si="12">F130&amp;" "&amp;G130</f>
        <v>DEF 2</v>
      </c>
      <c r="I130" t="str">
        <f t="shared" ref="I130:I193" si="13">RIGHT(C130,LEN(C130)-FIND(H130,C130)-LEN(H130)+1)</f>
        <v>8.0</v>
      </c>
    </row>
    <row r="131" spans="1:9" x14ac:dyDescent="0.25">
      <c r="A131" s="4" t="s">
        <v>395</v>
      </c>
      <c r="B131" t="s">
        <v>959</v>
      </c>
      <c r="C131" t="str">
        <f t="shared" ref="C131:C194" si="14">B131</f>
        <v>DeVante Parker NE - WR@MIA Sun 1:00PM-346.522WR 508.0</v>
      </c>
      <c r="D131" t="str">
        <f t="shared" si="10"/>
        <v>DeVante Parker</v>
      </c>
      <c r="E131" t="str">
        <f t="shared" si="11"/>
        <v>WR@</v>
      </c>
      <c r="F131" t="str" cm="1">
        <f t="array" ref="F131">_xlfn.IFS(E131="DEF","DEF",TRUE,LEFT(E131,2))</f>
        <v>WR</v>
      </c>
      <c r="G131">
        <f>COUNTIFS(F$1:F131,F131)</f>
        <v>50</v>
      </c>
      <c r="H131" t="str">
        <f t="shared" si="12"/>
        <v>WR 50</v>
      </c>
      <c r="I131" t="str">
        <f t="shared" si="13"/>
        <v>8.0</v>
      </c>
    </row>
    <row r="132" spans="1:9" x14ac:dyDescent="0.25">
      <c r="A132" s="4" t="s">
        <v>398</v>
      </c>
      <c r="B132" t="s">
        <v>960</v>
      </c>
      <c r="C132" t="str">
        <f t="shared" si="14"/>
        <v>T.J. Hockenson DET - TEPHI Sun 1:00PM-448.522.5TE 88.0</v>
      </c>
      <c r="D132" t="str">
        <f t="shared" si="10"/>
        <v>T.J. Hockenson </v>
      </c>
      <c r="E132" t="str">
        <f t="shared" si="11"/>
        <v>TEP</v>
      </c>
      <c r="F132" t="str" cm="1">
        <f t="array" ref="F132">_xlfn.IFS(E132="DEF","DEF",TRUE,LEFT(E132,2))</f>
        <v>TE</v>
      </c>
      <c r="G132">
        <f>COUNTIFS(F$1:F132,F132)</f>
        <v>8</v>
      </c>
      <c r="H132" t="str">
        <f t="shared" si="12"/>
        <v>TE 8</v>
      </c>
      <c r="I132" t="str">
        <f t="shared" si="13"/>
        <v>8.0</v>
      </c>
    </row>
    <row r="133" spans="1:9" x14ac:dyDescent="0.25">
      <c r="A133" s="4" t="s">
        <v>401</v>
      </c>
      <c r="B133" t="s">
        <v>961</v>
      </c>
      <c r="C133" t="str">
        <f t="shared" si="14"/>
        <v>Rondale Moore ARI - WRKC Sun 4:25PM-453.525WR 518.0</v>
      </c>
      <c r="D133" t="str">
        <f t="shared" si="10"/>
        <v>Rondale Moore </v>
      </c>
      <c r="E133" t="str">
        <f t="shared" si="11"/>
        <v>WRK</v>
      </c>
      <c r="F133" t="str" cm="1">
        <f t="array" ref="F133">_xlfn.IFS(E133="DEF","DEF",TRUE,LEFT(E133,2))</f>
        <v>WR</v>
      </c>
      <c r="G133">
        <f>COUNTIFS(F$1:F133,F133)</f>
        <v>51</v>
      </c>
      <c r="H133" t="str">
        <f t="shared" si="12"/>
        <v>WR 51</v>
      </c>
      <c r="I133" t="str">
        <f t="shared" si="13"/>
        <v>8.0</v>
      </c>
    </row>
    <row r="134" spans="1:9" x14ac:dyDescent="0.25">
      <c r="A134" s="4" t="s">
        <v>404</v>
      </c>
      <c r="B134" t="s">
        <v>962</v>
      </c>
      <c r="C134" t="str">
        <f t="shared" si="14"/>
        <v>Zach Ertz ARI - TEKC Sun 4:25PM-453.525TE 97.7</v>
      </c>
      <c r="D134" t="str">
        <f t="shared" si="10"/>
        <v>Zach Ertz </v>
      </c>
      <c r="E134" t="str">
        <f t="shared" si="11"/>
        <v>TEK</v>
      </c>
      <c r="F134" t="str" cm="1">
        <f t="array" ref="F134">_xlfn.IFS(E134="DEF","DEF",TRUE,LEFT(E134,2))</f>
        <v>TE</v>
      </c>
      <c r="G134">
        <f>COUNTIFS(F$1:F134,F134)</f>
        <v>9</v>
      </c>
      <c r="H134" t="str">
        <f t="shared" si="12"/>
        <v>TE 9</v>
      </c>
      <c r="I134" t="str">
        <f t="shared" si="13"/>
        <v>7.7</v>
      </c>
    </row>
    <row r="135" spans="1:9" x14ac:dyDescent="0.25">
      <c r="A135" s="4" t="s">
        <v>407</v>
      </c>
      <c r="B135" t="s">
        <v>963</v>
      </c>
      <c r="C135" t="str">
        <f t="shared" si="14"/>
        <v>New Orleans Saints NO - DEF@ATL Sun 1:00PM--5.542.524DEF 37.7</v>
      </c>
      <c r="D135" t="str">
        <f t="shared" si="10"/>
        <v>New Orleans Saints</v>
      </c>
      <c r="E135" t="str">
        <f t="shared" si="11"/>
        <v>DEF</v>
      </c>
      <c r="F135" t="str" cm="1">
        <f t="array" ref="F135">_xlfn.IFS(E135="DEF","DEF",TRUE,LEFT(E135,2))</f>
        <v>DEF</v>
      </c>
      <c r="G135">
        <f>COUNTIFS(F$1:F135,F135)</f>
        <v>3</v>
      </c>
      <c r="H135" t="str">
        <f t="shared" si="12"/>
        <v>DEF 3</v>
      </c>
      <c r="I135" t="str">
        <f t="shared" si="13"/>
        <v>7.7</v>
      </c>
    </row>
    <row r="136" spans="1:9" x14ac:dyDescent="0.25">
      <c r="A136" s="4" t="s">
        <v>410</v>
      </c>
      <c r="B136" t="s">
        <v>964</v>
      </c>
      <c r="C136" t="str">
        <f t="shared" si="14"/>
        <v>George Pickens PIT - WR@CIN Sun 1:00PM-6.544.519WR 527.6</v>
      </c>
      <c r="D136" t="str">
        <f t="shared" si="10"/>
        <v>George Pickens </v>
      </c>
      <c r="E136" t="str">
        <f t="shared" si="11"/>
        <v>WR@</v>
      </c>
      <c r="F136" t="str" cm="1">
        <f t="array" ref="F136">_xlfn.IFS(E136="DEF","DEF",TRUE,LEFT(E136,2))</f>
        <v>WR</v>
      </c>
      <c r="G136">
        <f>COUNTIFS(F$1:F136,F136)</f>
        <v>52</v>
      </c>
      <c r="H136" t="str">
        <f t="shared" si="12"/>
        <v>WR 52</v>
      </c>
      <c r="I136" t="str">
        <f t="shared" si="13"/>
        <v>7.6</v>
      </c>
    </row>
    <row r="137" spans="1:9" x14ac:dyDescent="0.25">
      <c r="A137" s="4" t="s">
        <v>413</v>
      </c>
      <c r="B137" t="s">
        <v>965</v>
      </c>
      <c r="C137" t="str">
        <f t="shared" si="14"/>
        <v>Jahan Dotson WAS - WRJAC Sun 1:00PM--343.523.5WR 537.6</v>
      </c>
      <c r="D137" t="str">
        <f t="shared" si="10"/>
        <v>Jahan Dotson </v>
      </c>
      <c r="E137" t="str">
        <f t="shared" si="11"/>
        <v>WRJ</v>
      </c>
      <c r="F137" t="str" cm="1">
        <f t="array" ref="F137">_xlfn.IFS(E137="DEF","DEF",TRUE,LEFT(E137,2))</f>
        <v>WR</v>
      </c>
      <c r="G137">
        <f>COUNTIFS(F$1:F137,F137)</f>
        <v>53</v>
      </c>
      <c r="H137" t="str">
        <f t="shared" si="12"/>
        <v>WR 53</v>
      </c>
      <c r="I137" t="str">
        <f t="shared" si="13"/>
        <v>7.6</v>
      </c>
    </row>
    <row r="138" spans="1:9" x14ac:dyDescent="0.25">
      <c r="A138" s="4" t="s">
        <v>416</v>
      </c>
      <c r="B138" t="s">
        <v>966</v>
      </c>
      <c r="C138" t="str">
        <f t="shared" si="14"/>
        <v>Treylon Burks TEN - WRNYG Sun 4:25PM--5.543.524.5WR 547.6</v>
      </c>
      <c r="D138" t="str">
        <f t="shared" si="10"/>
        <v>Treylon Burks </v>
      </c>
      <c r="E138" t="str">
        <f t="shared" si="11"/>
        <v>WRN</v>
      </c>
      <c r="F138" t="str" cm="1">
        <f t="array" ref="F138">_xlfn.IFS(E138="DEF","DEF",TRUE,LEFT(E138,2))</f>
        <v>WR</v>
      </c>
      <c r="G138">
        <f>COUNTIFS(F$1:F138,F138)</f>
        <v>54</v>
      </c>
      <c r="H138" t="str">
        <f t="shared" si="12"/>
        <v>WR 54</v>
      </c>
      <c r="I138" t="str">
        <f t="shared" si="13"/>
        <v>7.6</v>
      </c>
    </row>
    <row r="139" spans="1:9" x14ac:dyDescent="0.25">
      <c r="A139" s="4" t="s">
        <v>419</v>
      </c>
      <c r="B139" t="s">
        <v>967</v>
      </c>
      <c r="C139" t="str">
        <f t="shared" si="14"/>
        <v>Julio Jones TB - WR@DAL Sun 8:20PM--1.55026WR 557.5</v>
      </c>
      <c r="D139" t="str">
        <f t="shared" si="10"/>
        <v>Julio Jones</v>
      </c>
      <c r="E139" t="str">
        <f t="shared" si="11"/>
        <v>WR@</v>
      </c>
      <c r="F139" t="str" cm="1">
        <f t="array" ref="F139">_xlfn.IFS(E139="DEF","DEF",TRUE,LEFT(E139,2))</f>
        <v>WR</v>
      </c>
      <c r="G139">
        <f>COUNTIFS(F$1:F139,F139)</f>
        <v>55</v>
      </c>
      <c r="H139" t="str">
        <f t="shared" si="12"/>
        <v>WR 55</v>
      </c>
      <c r="I139" t="str">
        <f t="shared" si="13"/>
        <v>7.5</v>
      </c>
    </row>
    <row r="140" spans="1:9" x14ac:dyDescent="0.25">
      <c r="A140" s="4" t="s">
        <v>422</v>
      </c>
      <c r="B140" t="s">
        <v>968</v>
      </c>
      <c r="C140" t="str">
        <f t="shared" si="14"/>
        <v>Garrett Wilson NYJ - WRBAL Sun 1:00PM-744.519WR 567.4</v>
      </c>
      <c r="D140" t="str">
        <f t="shared" si="10"/>
        <v>Garrett Wilson </v>
      </c>
      <c r="E140" t="str">
        <f t="shared" si="11"/>
        <v>WRB</v>
      </c>
      <c r="F140" t="str" cm="1">
        <f t="array" ref="F140">_xlfn.IFS(E140="DEF","DEF",TRUE,LEFT(E140,2))</f>
        <v>WR</v>
      </c>
      <c r="G140">
        <f>COUNTIFS(F$1:F140,F140)</f>
        <v>56</v>
      </c>
      <c r="H140" t="str">
        <f t="shared" si="12"/>
        <v>WR 56</v>
      </c>
      <c r="I140" t="str">
        <f t="shared" si="13"/>
        <v>7.4</v>
      </c>
    </row>
    <row r="141" spans="1:9" x14ac:dyDescent="0.25">
      <c r="A141" s="4" t="s">
        <v>425</v>
      </c>
      <c r="B141" t="s">
        <v>969</v>
      </c>
      <c r="C141" t="str">
        <f t="shared" si="14"/>
        <v>James Cook BUF - RB@LAR Thu 8:20PM--2.552.527.5RB 407.4</v>
      </c>
      <c r="D141" t="str">
        <f t="shared" si="10"/>
        <v>James Cook </v>
      </c>
      <c r="E141" t="str">
        <f t="shared" si="11"/>
        <v>RB@</v>
      </c>
      <c r="F141" t="str" cm="1">
        <f t="array" ref="F141">_xlfn.IFS(E141="DEF","DEF",TRUE,LEFT(E141,2))</f>
        <v>RB</v>
      </c>
      <c r="G141">
        <f>COUNTIFS(F$1:F141,F141)</f>
        <v>40</v>
      </c>
      <c r="H141" t="str">
        <f t="shared" si="12"/>
        <v>RB 40</v>
      </c>
      <c r="I141" t="str">
        <f t="shared" si="13"/>
        <v>7.4</v>
      </c>
    </row>
    <row r="142" spans="1:9" x14ac:dyDescent="0.25">
      <c r="A142" s="4" t="s">
        <v>428</v>
      </c>
      <c r="B142" t="s">
        <v>970</v>
      </c>
      <c r="C142" t="str">
        <f t="shared" si="14"/>
        <v>Baltimore Ravens BAL - DEF@NYJ Sun 1:00PM--744.526DEF 47.4</v>
      </c>
      <c r="D142" t="str">
        <f t="shared" si="10"/>
        <v>Baltimore Ravens </v>
      </c>
      <c r="E142" t="str">
        <f t="shared" si="11"/>
        <v>DEF</v>
      </c>
      <c r="F142" t="str" cm="1">
        <f t="array" ref="F142">_xlfn.IFS(E142="DEF","DEF",TRUE,LEFT(E142,2))</f>
        <v>DEF</v>
      </c>
      <c r="G142">
        <f>COUNTIFS(F$1:F142,F142)</f>
        <v>4</v>
      </c>
      <c r="H142" t="str">
        <f t="shared" si="12"/>
        <v>DEF 4</v>
      </c>
      <c r="I142" t="str">
        <f t="shared" si="13"/>
        <v>7.4</v>
      </c>
    </row>
    <row r="143" spans="1:9" x14ac:dyDescent="0.25">
      <c r="A143" s="4" t="s">
        <v>431</v>
      </c>
      <c r="B143" t="s">
        <v>971</v>
      </c>
      <c r="C143" t="str">
        <f t="shared" si="14"/>
        <v>Russell Gage TB - WR@DAL Sun 8:20PM--1.55026WR 577.4</v>
      </c>
      <c r="D143" t="str">
        <f t="shared" si="10"/>
        <v>Russell Gage</v>
      </c>
      <c r="E143" t="str">
        <f t="shared" si="11"/>
        <v>WR@</v>
      </c>
      <c r="F143" t="str" cm="1">
        <f t="array" ref="F143">_xlfn.IFS(E143="DEF","DEF",TRUE,LEFT(E143,2))</f>
        <v>WR</v>
      </c>
      <c r="G143">
        <f>COUNTIFS(F$1:F143,F143)</f>
        <v>57</v>
      </c>
      <c r="H143" t="str">
        <f t="shared" si="12"/>
        <v>WR 57</v>
      </c>
      <c r="I143" t="str">
        <f t="shared" si="13"/>
        <v>7.4</v>
      </c>
    </row>
    <row r="144" spans="1:9" x14ac:dyDescent="0.25">
      <c r="A144" s="4" t="s">
        <v>434</v>
      </c>
      <c r="B144" t="s">
        <v>972</v>
      </c>
      <c r="C144" t="str">
        <f t="shared" si="14"/>
        <v>Indianapolis Colts IND - DEF@HOU Sun 1:00PM--84627DEF 57.4</v>
      </c>
      <c r="D144" t="str">
        <f t="shared" si="10"/>
        <v>Indianapolis Colts </v>
      </c>
      <c r="E144" t="str">
        <f t="shared" si="11"/>
        <v>DEF</v>
      </c>
      <c r="F144" t="str" cm="1">
        <f t="array" ref="F144">_xlfn.IFS(E144="DEF","DEF",TRUE,LEFT(E144,2))</f>
        <v>DEF</v>
      </c>
      <c r="G144">
        <f>COUNTIFS(F$1:F144,F144)</f>
        <v>5</v>
      </c>
      <c r="H144" t="str">
        <f t="shared" si="12"/>
        <v>DEF 5</v>
      </c>
      <c r="I144" t="str">
        <f t="shared" si="13"/>
        <v>7.4</v>
      </c>
    </row>
    <row r="145" spans="1:9" x14ac:dyDescent="0.25">
      <c r="A145" s="4" t="s">
        <v>437</v>
      </c>
      <c r="B145" t="s">
        <v>973</v>
      </c>
      <c r="C145" t="str">
        <f t="shared" si="14"/>
        <v>DJ Chark Jr. DET - WRPHI Sun 1:00PM-448.522.5WR 587.4</v>
      </c>
      <c r="D145" t="str">
        <f t="shared" si="10"/>
        <v>DJ Chark Jr. </v>
      </c>
      <c r="E145" t="str">
        <f t="shared" si="11"/>
        <v>WRP</v>
      </c>
      <c r="F145" t="str" cm="1">
        <f t="array" ref="F145">_xlfn.IFS(E145="DEF","DEF",TRUE,LEFT(E145,2))</f>
        <v>WR</v>
      </c>
      <c r="G145">
        <f>COUNTIFS(F$1:F145,F145)</f>
        <v>58</v>
      </c>
      <c r="H145" t="str">
        <f t="shared" si="12"/>
        <v>WR 58</v>
      </c>
      <c r="I145" t="str">
        <f t="shared" si="13"/>
        <v>7.4</v>
      </c>
    </row>
    <row r="146" spans="1:9" x14ac:dyDescent="0.25">
      <c r="A146" s="4" t="s">
        <v>440</v>
      </c>
      <c r="B146" t="s">
        <v>974</v>
      </c>
      <c r="C146" t="str">
        <f t="shared" si="14"/>
        <v>Nico Collins HOU - WRIND Sun 1:00PM-84619WR 597.4</v>
      </c>
      <c r="D146" t="str">
        <f t="shared" si="10"/>
        <v>Nico Collins </v>
      </c>
      <c r="E146" t="str">
        <f t="shared" si="11"/>
        <v>WRI</v>
      </c>
      <c r="F146" t="str" cm="1">
        <f t="array" ref="F146">_xlfn.IFS(E146="DEF","DEF",TRUE,LEFT(E146,2))</f>
        <v>WR</v>
      </c>
      <c r="G146">
        <f>COUNTIFS(F$1:F146,F146)</f>
        <v>59</v>
      </c>
      <c r="H146" t="str">
        <f t="shared" si="12"/>
        <v>WR 59</v>
      </c>
      <c r="I146" t="str">
        <f t="shared" si="13"/>
        <v>7.4</v>
      </c>
    </row>
    <row r="147" spans="1:9" x14ac:dyDescent="0.25">
      <c r="A147" s="4" t="s">
        <v>443</v>
      </c>
      <c r="B147" t="s">
        <v>975</v>
      </c>
      <c r="C147" t="str">
        <f t="shared" si="14"/>
        <v>Dawson Knox BUF - TE@LAR Thu 8:20PM--2.552.527.5TE 107.4</v>
      </c>
      <c r="D147" t="str">
        <f t="shared" si="10"/>
        <v>Dawson Knox </v>
      </c>
      <c r="E147" t="str">
        <f t="shared" si="11"/>
        <v>TE@</v>
      </c>
      <c r="F147" t="str" cm="1">
        <f t="array" ref="F147">_xlfn.IFS(E147="DEF","DEF",TRUE,LEFT(E147,2))</f>
        <v>TE</v>
      </c>
      <c r="G147">
        <f>COUNTIFS(F$1:F147,F147)</f>
        <v>10</v>
      </c>
      <c r="H147" t="str">
        <f t="shared" si="12"/>
        <v>TE 10</v>
      </c>
      <c r="I147" t="str">
        <f t="shared" si="13"/>
        <v>7.4</v>
      </c>
    </row>
    <row r="148" spans="1:9" x14ac:dyDescent="0.25">
      <c r="A148" s="4" t="s">
        <v>446</v>
      </c>
      <c r="B148" t="s">
        <v>976</v>
      </c>
      <c r="C148" t="str">
        <f t="shared" si="14"/>
        <v>Kenny Golladay NYG - WR@TEN Sun 4:25PM-5.543.519WR 607.3</v>
      </c>
      <c r="D148" t="str">
        <f t="shared" si="10"/>
        <v>Kenny Golladay </v>
      </c>
      <c r="E148" t="str">
        <f t="shared" si="11"/>
        <v>WR@</v>
      </c>
      <c r="F148" t="str" cm="1">
        <f t="array" ref="F148">_xlfn.IFS(E148="DEF","DEF",TRUE,LEFT(E148,2))</f>
        <v>WR</v>
      </c>
      <c r="G148">
        <f>COUNTIFS(F$1:F148,F148)</f>
        <v>60</v>
      </c>
      <c r="H148" t="str">
        <f t="shared" si="12"/>
        <v>WR 60</v>
      </c>
      <c r="I148" t="str">
        <f t="shared" si="13"/>
        <v>7.3</v>
      </c>
    </row>
    <row r="149" spans="1:9" x14ac:dyDescent="0.25">
      <c r="A149" s="4" t="s">
        <v>449</v>
      </c>
      <c r="B149" t="s">
        <v>977</v>
      </c>
      <c r="C149" t="str">
        <f t="shared" si="14"/>
        <v>Cleveland Browns CLE - DEF@CAR Sun 1:00PM-2.541.519.5DEF 67.3</v>
      </c>
      <c r="D149" t="str">
        <f t="shared" si="10"/>
        <v>Cleveland Browns </v>
      </c>
      <c r="E149" t="str">
        <f t="shared" si="11"/>
        <v>DEF</v>
      </c>
      <c r="F149" t="str" cm="1">
        <f t="array" ref="F149">_xlfn.IFS(E149="DEF","DEF",TRUE,LEFT(E149,2))</f>
        <v>DEF</v>
      </c>
      <c r="G149">
        <f>COUNTIFS(F$1:F149,F149)</f>
        <v>6</v>
      </c>
      <c r="H149" t="str">
        <f t="shared" si="12"/>
        <v>DEF 6</v>
      </c>
      <c r="I149" t="str">
        <f t="shared" si="13"/>
        <v>7.3</v>
      </c>
    </row>
    <row r="150" spans="1:9" x14ac:dyDescent="0.25">
      <c r="A150" s="4" t="s">
        <v>452</v>
      </c>
      <c r="B150" t="s">
        <v>978</v>
      </c>
      <c r="C150" t="str">
        <f t="shared" si="14"/>
        <v>Corey Davis NYJ - WRBAL Sun 1:00PM-744.519WR 617.1</v>
      </c>
      <c r="D150" t="str">
        <f t="shared" si="10"/>
        <v>Corey Davis </v>
      </c>
      <c r="E150" t="str">
        <f t="shared" si="11"/>
        <v>WRB</v>
      </c>
      <c r="F150" t="str" cm="1">
        <f t="array" ref="F150">_xlfn.IFS(E150="DEF","DEF",TRUE,LEFT(E150,2))</f>
        <v>WR</v>
      </c>
      <c r="G150">
        <f>COUNTIFS(F$1:F150,F150)</f>
        <v>61</v>
      </c>
      <c r="H150" t="str">
        <f t="shared" si="12"/>
        <v>WR 61</v>
      </c>
      <c r="I150" t="str">
        <f t="shared" si="13"/>
        <v>7.1</v>
      </c>
    </row>
    <row r="151" spans="1:9" x14ac:dyDescent="0.25">
      <c r="A151" s="4" t="s">
        <v>455</v>
      </c>
      <c r="B151" t="s">
        <v>979</v>
      </c>
      <c r="C151" t="str">
        <f t="shared" si="14"/>
        <v>James Robinson JAC - RB@WAS Sun 1:00PM-343.520.5RB 417.1</v>
      </c>
      <c r="D151" t="str">
        <f t="shared" si="10"/>
        <v>James Robinson </v>
      </c>
      <c r="E151" t="str">
        <f t="shared" si="11"/>
        <v>RB@</v>
      </c>
      <c r="F151" t="str" cm="1">
        <f t="array" ref="F151">_xlfn.IFS(E151="DEF","DEF",TRUE,LEFT(E151,2))</f>
        <v>RB</v>
      </c>
      <c r="G151">
        <f>COUNTIFS(F$1:F151,F151)</f>
        <v>41</v>
      </c>
      <c r="H151" t="str">
        <f t="shared" si="12"/>
        <v>RB 41</v>
      </c>
      <c r="I151" t="str">
        <f t="shared" si="13"/>
        <v>7.1</v>
      </c>
    </row>
    <row r="152" spans="1:9" x14ac:dyDescent="0.25">
      <c r="A152" s="4" t="s">
        <v>458</v>
      </c>
      <c r="B152" t="s">
        <v>980</v>
      </c>
      <c r="C152" t="str">
        <f t="shared" si="14"/>
        <v>Isaiah McKenzie BUF - WR@LAR Thu 8:20PM--2.552.527.5WR 627.1</v>
      </c>
      <c r="D152" t="str">
        <f t="shared" si="10"/>
        <v>Isaiah McKenzie </v>
      </c>
      <c r="E152" t="str">
        <f t="shared" si="11"/>
        <v>WR@</v>
      </c>
      <c r="F152" t="str" cm="1">
        <f t="array" ref="F152">_xlfn.IFS(E152="DEF","DEF",TRUE,LEFT(E152,2))</f>
        <v>WR</v>
      </c>
      <c r="G152">
        <f>COUNTIFS(F$1:F152,F152)</f>
        <v>62</v>
      </c>
      <c r="H152" t="str">
        <f t="shared" si="12"/>
        <v>WR 62</v>
      </c>
      <c r="I152" t="str">
        <f t="shared" si="13"/>
        <v>7.1</v>
      </c>
    </row>
    <row r="153" spans="1:9" x14ac:dyDescent="0.25">
      <c r="A153" s="4" t="s">
        <v>461</v>
      </c>
      <c r="B153" t="s">
        <v>981</v>
      </c>
      <c r="C153" t="str">
        <f t="shared" si="14"/>
        <v>Buffalo Bills BUF - DEF@LAR Thu 8:20PM--2.552.527.5DEF 77.1</v>
      </c>
      <c r="D153" t="str">
        <f t="shared" si="10"/>
        <v>Buffalo Bills </v>
      </c>
      <c r="E153" t="str">
        <f t="shared" si="11"/>
        <v>DEF</v>
      </c>
      <c r="F153" t="str" cm="1">
        <f t="array" ref="F153">_xlfn.IFS(E153="DEF","DEF",TRUE,LEFT(E153,2))</f>
        <v>DEF</v>
      </c>
      <c r="G153">
        <f>COUNTIFS(F$1:F153,F153)</f>
        <v>7</v>
      </c>
      <c r="H153" t="str">
        <f t="shared" si="12"/>
        <v>DEF 7</v>
      </c>
      <c r="I153" t="str">
        <f t="shared" si="13"/>
        <v>7.1</v>
      </c>
    </row>
    <row r="154" spans="1:9" x14ac:dyDescent="0.25">
      <c r="A154" s="4" t="s">
        <v>464</v>
      </c>
      <c r="B154" t="s">
        <v>982</v>
      </c>
      <c r="C154" t="str">
        <f t="shared" si="14"/>
        <v>Mecole Hardman KC - WR@ARI Sun 4:25PM--4.553.529WR 637.1</v>
      </c>
      <c r="D154" t="str">
        <f t="shared" si="10"/>
        <v>Mecole Hardman</v>
      </c>
      <c r="E154" t="str">
        <f t="shared" si="11"/>
        <v>WR@</v>
      </c>
      <c r="F154" t="str" cm="1">
        <f t="array" ref="F154">_xlfn.IFS(E154="DEF","DEF",TRUE,LEFT(E154,2))</f>
        <v>WR</v>
      </c>
      <c r="G154">
        <f>COUNTIFS(F$1:F154,F154)</f>
        <v>63</v>
      </c>
      <c r="H154" t="str">
        <f t="shared" si="12"/>
        <v>WR 63</v>
      </c>
      <c r="I154" t="str">
        <f t="shared" si="13"/>
        <v>7.1</v>
      </c>
    </row>
    <row r="155" spans="1:9" x14ac:dyDescent="0.25">
      <c r="A155" s="4" t="s">
        <v>467</v>
      </c>
      <c r="B155" t="s">
        <v>983</v>
      </c>
      <c r="C155" t="str">
        <f t="shared" si="14"/>
        <v>Skyy Moore KC - WR@ARI Sun 4:25PM--4.553.529WR 647.1</v>
      </c>
      <c r="D155" t="str">
        <f t="shared" si="10"/>
        <v>Skyy Moore</v>
      </c>
      <c r="E155" t="str">
        <f t="shared" si="11"/>
        <v>WR@</v>
      </c>
      <c r="F155" t="str" cm="1">
        <f t="array" ref="F155">_xlfn.IFS(E155="DEF","DEF",TRUE,LEFT(E155,2))</f>
        <v>WR</v>
      </c>
      <c r="G155">
        <f>COUNTIFS(F$1:F155,F155)</f>
        <v>64</v>
      </c>
      <c r="H155" t="str">
        <f t="shared" si="12"/>
        <v>WR 64</v>
      </c>
      <c r="I155" t="str">
        <f t="shared" si="13"/>
        <v>7.1</v>
      </c>
    </row>
    <row r="156" spans="1:9" x14ac:dyDescent="0.25">
      <c r="A156" s="4" t="s">
        <v>470</v>
      </c>
      <c r="B156" t="s">
        <v>984</v>
      </c>
      <c r="C156" t="str">
        <f t="shared" si="14"/>
        <v>Cincinnati Bengals CIN - DEFPIT Sun 1:00PM--6.544.525.5DEF 87.0</v>
      </c>
      <c r="D156" t="str">
        <f t="shared" si="10"/>
        <v>Cincinnati Bengals </v>
      </c>
      <c r="E156" t="str">
        <f t="shared" si="11"/>
        <v>DEF</v>
      </c>
      <c r="F156" t="str" cm="1">
        <f t="array" ref="F156">_xlfn.IFS(E156="DEF","DEF",TRUE,LEFT(E156,2))</f>
        <v>DEF</v>
      </c>
      <c r="G156">
        <f>COUNTIFS(F$1:F156,F156)</f>
        <v>8</v>
      </c>
      <c r="H156" t="str">
        <f t="shared" si="12"/>
        <v>DEF 8</v>
      </c>
      <c r="I156" t="str">
        <f t="shared" si="13"/>
        <v>7.0</v>
      </c>
    </row>
    <row r="157" spans="1:9" x14ac:dyDescent="0.25">
      <c r="A157" s="4" t="s">
        <v>473</v>
      </c>
      <c r="B157" t="s">
        <v>985</v>
      </c>
      <c r="C157" t="str">
        <f t="shared" si="14"/>
        <v>Pat Freiermuth PIT - TE@CIN Sun 1:00PM-6.544.519TE 117.0</v>
      </c>
      <c r="D157" t="str">
        <f t="shared" si="10"/>
        <v>Pat Freiermuth </v>
      </c>
      <c r="E157" t="str">
        <f t="shared" si="11"/>
        <v>TE@</v>
      </c>
      <c r="F157" t="str" cm="1">
        <f t="array" ref="F157">_xlfn.IFS(E157="DEF","DEF",TRUE,LEFT(E157,2))</f>
        <v>TE</v>
      </c>
      <c r="G157">
        <f>COUNTIFS(F$1:F157,F157)</f>
        <v>11</v>
      </c>
      <c r="H157" t="str">
        <f t="shared" si="12"/>
        <v>TE 11</v>
      </c>
      <c r="I157" t="str">
        <f t="shared" si="13"/>
        <v>7.0</v>
      </c>
    </row>
    <row r="158" spans="1:9" x14ac:dyDescent="0.25">
      <c r="A158" s="4" t="s">
        <v>476</v>
      </c>
      <c r="B158" t="s">
        <v>986</v>
      </c>
      <c r="C158" t="str">
        <f t="shared" si="14"/>
        <v>Cole Kmet CHI - TESF Sun 1:00PM-74117TE 127.0</v>
      </c>
      <c r="D158" t="str">
        <f t="shared" si="10"/>
        <v>Cole Kmet </v>
      </c>
      <c r="E158" t="str">
        <f t="shared" si="11"/>
        <v>TES</v>
      </c>
      <c r="F158" t="str" cm="1">
        <f t="array" ref="F158">_xlfn.IFS(E158="DEF","DEF",TRUE,LEFT(E158,2))</f>
        <v>TE</v>
      </c>
      <c r="G158">
        <f>COUNTIFS(F$1:F158,F158)</f>
        <v>12</v>
      </c>
      <c r="H158" t="str">
        <f t="shared" si="12"/>
        <v>TE 12</v>
      </c>
      <c r="I158" t="str">
        <f t="shared" si="13"/>
        <v>7.0</v>
      </c>
    </row>
    <row r="159" spans="1:9" x14ac:dyDescent="0.25">
      <c r="A159" s="4" t="s">
        <v>479</v>
      </c>
      <c r="B159" t="s">
        <v>987</v>
      </c>
      <c r="C159" t="str">
        <f t="shared" si="14"/>
        <v>Hunter Henry NE - TE@MIA Sun 1:00PM-346.522TE 137.0</v>
      </c>
      <c r="D159" t="str">
        <f t="shared" si="10"/>
        <v>Hunter Henry</v>
      </c>
      <c r="E159" t="str">
        <f t="shared" si="11"/>
        <v>TE@</v>
      </c>
      <c r="F159" t="str" cm="1">
        <f t="array" ref="F159">_xlfn.IFS(E159="DEF","DEF",TRUE,LEFT(E159,2))</f>
        <v>TE</v>
      </c>
      <c r="G159">
        <f>COUNTIFS(F$1:F159,F159)</f>
        <v>13</v>
      </c>
      <c r="H159" t="str">
        <f t="shared" si="12"/>
        <v>TE 13</v>
      </c>
      <c r="I159" t="str">
        <f t="shared" si="13"/>
        <v>7.0</v>
      </c>
    </row>
    <row r="160" spans="1:9" x14ac:dyDescent="0.25">
      <c r="A160" s="4" t="s">
        <v>482</v>
      </c>
      <c r="B160" t="s">
        <v>988</v>
      </c>
      <c r="C160" t="str">
        <f t="shared" si="14"/>
        <v>Marvin Jones Jr. JAC - WR@WAS Sun 1:00PM-343.520.5WR 656.9</v>
      </c>
      <c r="D160" t="str">
        <f t="shared" si="10"/>
        <v>Marvin Jones Jr. </v>
      </c>
      <c r="E160" t="str">
        <f t="shared" si="11"/>
        <v>WR@</v>
      </c>
      <c r="F160" t="str" cm="1">
        <f t="array" ref="F160">_xlfn.IFS(E160="DEF","DEF",TRUE,LEFT(E160,2))</f>
        <v>WR</v>
      </c>
      <c r="G160">
        <f>COUNTIFS(F$1:F160,F160)</f>
        <v>65</v>
      </c>
      <c r="H160" t="str">
        <f t="shared" si="12"/>
        <v>WR 65</v>
      </c>
      <c r="I160" t="str">
        <f t="shared" si="13"/>
        <v>6.9</v>
      </c>
    </row>
    <row r="161" spans="1:9" x14ac:dyDescent="0.25">
      <c r="A161" s="4" t="s">
        <v>485</v>
      </c>
      <c r="B161" t="s">
        <v>989</v>
      </c>
      <c r="C161" t="str">
        <f t="shared" si="14"/>
        <v>K.J. Osborn MIN - WRGB Sun 4:25PM-1.54823.5WR 666.9</v>
      </c>
      <c r="D161" t="str">
        <f t="shared" si="10"/>
        <v>K.J. Osborn </v>
      </c>
      <c r="E161" t="str">
        <f t="shared" si="11"/>
        <v>WRG</v>
      </c>
      <c r="F161" t="str" cm="1">
        <f t="array" ref="F161">_xlfn.IFS(E161="DEF","DEF",TRUE,LEFT(E161,2))</f>
        <v>WR</v>
      </c>
      <c r="G161">
        <f>COUNTIFS(F$1:F161,F161)</f>
        <v>66</v>
      </c>
      <c r="H161" t="str">
        <f t="shared" si="12"/>
        <v>WR 66</v>
      </c>
      <c r="I161" t="str">
        <f t="shared" si="13"/>
        <v>6.9</v>
      </c>
    </row>
    <row r="162" spans="1:9" x14ac:dyDescent="0.25">
      <c r="A162" s="4" t="s">
        <v>488</v>
      </c>
      <c r="B162" t="s">
        <v>990</v>
      </c>
      <c r="C162" t="str">
        <f t="shared" si="14"/>
        <v>Albert Okwuegbunam DEN - TE@SEA Mon 8:15PM--6.54325TE 146.9</v>
      </c>
      <c r="D162" t="str">
        <f t="shared" si="10"/>
        <v>Albert Okwuegbunam </v>
      </c>
      <c r="E162" t="str">
        <f t="shared" si="11"/>
        <v>TE@</v>
      </c>
      <c r="F162" t="str" cm="1">
        <f t="array" ref="F162">_xlfn.IFS(E162="DEF","DEF",TRUE,LEFT(E162,2))</f>
        <v>TE</v>
      </c>
      <c r="G162">
        <f>COUNTIFS(F$1:F162,F162)</f>
        <v>14</v>
      </c>
      <c r="H162" t="str">
        <f t="shared" si="12"/>
        <v>TE 14</v>
      </c>
      <c r="I162" t="str">
        <f t="shared" si="13"/>
        <v>6.9</v>
      </c>
    </row>
    <row r="163" spans="1:9" x14ac:dyDescent="0.25">
      <c r="A163" s="4" t="s">
        <v>491</v>
      </c>
      <c r="B163" t="s">
        <v>991</v>
      </c>
      <c r="C163" t="str">
        <f t="shared" si="14"/>
        <v>Tennessee Titans TEN - DEFNYG Sun 4:25PM--5.543.524.5DEF 96.9</v>
      </c>
      <c r="D163" t="str">
        <f t="shared" si="10"/>
        <v>Tennessee Titans </v>
      </c>
      <c r="E163" t="str">
        <f t="shared" si="11"/>
        <v>DEF</v>
      </c>
      <c r="F163" t="str" cm="1">
        <f t="array" ref="F163">_xlfn.IFS(E163="DEF","DEF",TRUE,LEFT(E163,2))</f>
        <v>DEF</v>
      </c>
      <c r="G163">
        <f>COUNTIFS(F$1:F163,F163)</f>
        <v>9</v>
      </c>
      <c r="H163" t="str">
        <f t="shared" si="12"/>
        <v>DEF 9</v>
      </c>
      <c r="I163" t="str">
        <f t="shared" si="13"/>
        <v>6.9</v>
      </c>
    </row>
    <row r="164" spans="1:9" x14ac:dyDescent="0.25">
      <c r="A164" s="4" t="s">
        <v>494</v>
      </c>
      <c r="B164" t="s">
        <v>992</v>
      </c>
      <c r="C164" t="str">
        <f t="shared" si="14"/>
        <v>Miami Dolphins MIA - DEFNE Sun 1:00PM--346.525DEF 106.8</v>
      </c>
      <c r="D164" t="str">
        <f t="shared" si="10"/>
        <v>Miami Dolphins </v>
      </c>
      <c r="E164" t="str">
        <f t="shared" si="11"/>
        <v>DEF</v>
      </c>
      <c r="F164" t="str" cm="1">
        <f t="array" ref="F164">_xlfn.IFS(E164="DEF","DEF",TRUE,LEFT(E164,2))</f>
        <v>DEF</v>
      </c>
      <c r="G164">
        <f>COUNTIFS(F$1:F164,F164)</f>
        <v>10</v>
      </c>
      <c r="H164" t="str">
        <f t="shared" si="12"/>
        <v>DEF 10</v>
      </c>
      <c r="I164" t="str">
        <f t="shared" si="13"/>
        <v>6.8</v>
      </c>
    </row>
    <row r="165" spans="1:9" x14ac:dyDescent="0.25">
      <c r="A165" s="4" t="s">
        <v>497</v>
      </c>
      <c r="B165" t="s">
        <v>993</v>
      </c>
      <c r="C165" t="str">
        <f t="shared" si="14"/>
        <v>David Njoku CLE - TE@CAR Sun 1:00PM-2.541.519.5TE 156.8</v>
      </c>
      <c r="D165" t="str">
        <f t="shared" si="10"/>
        <v>David Njoku </v>
      </c>
      <c r="E165" t="str">
        <f t="shared" si="11"/>
        <v>TE@</v>
      </c>
      <c r="F165" t="str" cm="1">
        <f t="array" ref="F165">_xlfn.IFS(E165="DEF","DEF",TRUE,LEFT(E165,2))</f>
        <v>TE</v>
      </c>
      <c r="G165">
        <f>COUNTIFS(F$1:F165,F165)</f>
        <v>15</v>
      </c>
      <c r="H165" t="str">
        <f t="shared" si="12"/>
        <v>TE 15</v>
      </c>
      <c r="I165" t="str">
        <f t="shared" si="13"/>
        <v>6.8</v>
      </c>
    </row>
    <row r="166" spans="1:9" x14ac:dyDescent="0.25">
      <c r="A166" s="4" t="s">
        <v>500</v>
      </c>
      <c r="B166" t="s">
        <v>994</v>
      </c>
      <c r="C166" t="str">
        <f t="shared" si="14"/>
        <v>J.D. McKissic WAS - RBJAC Sun 1:00PM--343.523.5RB 426.8</v>
      </c>
      <c r="D166" t="str">
        <f t="shared" si="10"/>
        <v>J.D. McKissic </v>
      </c>
      <c r="E166" t="str">
        <f t="shared" si="11"/>
        <v>RBJ</v>
      </c>
      <c r="F166" t="str" cm="1">
        <f t="array" ref="F166">_xlfn.IFS(E166="DEF","DEF",TRUE,LEFT(E166,2))</f>
        <v>RB</v>
      </c>
      <c r="G166">
        <f>COUNTIFS(F$1:F166,F166)</f>
        <v>42</v>
      </c>
      <c r="H166" t="str">
        <f t="shared" si="12"/>
        <v>RB 42</v>
      </c>
      <c r="I166" t="str">
        <f t="shared" si="13"/>
        <v>6.8</v>
      </c>
    </row>
    <row r="167" spans="1:9" x14ac:dyDescent="0.25">
      <c r="A167" s="4" t="s">
        <v>503</v>
      </c>
      <c r="B167" t="s">
        <v>995</v>
      </c>
      <c r="C167" t="str">
        <f t="shared" si="14"/>
        <v>Irv Smith Jr. MIN - TEGB Sun 4:25PM-1.54823.5TE 166.8</v>
      </c>
      <c r="D167" t="str">
        <f t="shared" si="10"/>
        <v>Irv Smith Jr. </v>
      </c>
      <c r="E167" t="str">
        <f t="shared" si="11"/>
        <v>TEG</v>
      </c>
      <c r="F167" t="str" cm="1">
        <f t="array" ref="F167">_xlfn.IFS(E167="DEF","DEF",TRUE,LEFT(E167,2))</f>
        <v>TE</v>
      </c>
      <c r="G167">
        <f>COUNTIFS(F$1:F167,F167)</f>
        <v>16</v>
      </c>
      <c r="H167" t="str">
        <f t="shared" si="12"/>
        <v>TE 16</v>
      </c>
      <c r="I167" t="str">
        <f t="shared" si="13"/>
        <v>6.8</v>
      </c>
    </row>
    <row r="168" spans="1:9" x14ac:dyDescent="0.25">
      <c r="A168" s="4" t="s">
        <v>506</v>
      </c>
      <c r="B168" t="s">
        <v>996</v>
      </c>
      <c r="C168" t="str">
        <f t="shared" si="14"/>
        <v>Robbie Anderson CAR - WRCLE Sun 1:00PM--2.541.522WR 676.8</v>
      </c>
      <c r="D168" t="str">
        <f t="shared" si="10"/>
        <v>Robbie Anderson </v>
      </c>
      <c r="E168" t="str">
        <f t="shared" si="11"/>
        <v>WRC</v>
      </c>
      <c r="F168" t="str" cm="1">
        <f t="array" ref="F168">_xlfn.IFS(E168="DEF","DEF",TRUE,LEFT(E168,2))</f>
        <v>WR</v>
      </c>
      <c r="G168">
        <f>COUNTIFS(F$1:F168,F168)</f>
        <v>67</v>
      </c>
      <c r="H168" t="str">
        <f t="shared" si="12"/>
        <v>WR 67</v>
      </c>
      <c r="I168" t="str">
        <f t="shared" si="13"/>
        <v>6.8</v>
      </c>
    </row>
    <row r="169" spans="1:9" x14ac:dyDescent="0.25">
      <c r="A169" s="4" t="s">
        <v>509</v>
      </c>
      <c r="B169" t="s">
        <v>997</v>
      </c>
      <c r="C169" t="str">
        <f t="shared" si="14"/>
        <v>Jalen Tolbert DAL - WRTB Sun 8:20PM-1.55024.5WR 686.7</v>
      </c>
      <c r="D169" t="str">
        <f t="shared" si="10"/>
        <v>Jalen Tolbert </v>
      </c>
      <c r="E169" t="str">
        <f t="shared" si="11"/>
        <v>WRT</v>
      </c>
      <c r="F169" t="str" cm="1">
        <f t="array" ref="F169">_xlfn.IFS(E169="DEF","DEF",TRUE,LEFT(E169,2))</f>
        <v>WR</v>
      </c>
      <c r="G169">
        <f>COUNTIFS(F$1:F169,F169)</f>
        <v>68</v>
      </c>
      <c r="H169" t="str">
        <f t="shared" si="12"/>
        <v>WR 68</v>
      </c>
      <c r="I169" t="str">
        <f t="shared" si="13"/>
        <v>6.7</v>
      </c>
    </row>
    <row r="170" spans="1:9" x14ac:dyDescent="0.25">
      <c r="A170" s="4" t="s">
        <v>512</v>
      </c>
      <c r="B170" t="s">
        <v>998</v>
      </c>
      <c r="C170" t="str">
        <f t="shared" si="14"/>
        <v>Mike Gesicki MIA - TENE Sun 1:00PM--346.525TE 176.7</v>
      </c>
      <c r="D170" t="str">
        <f t="shared" si="10"/>
        <v>Mike Gesicki </v>
      </c>
      <c r="E170" t="str">
        <f t="shared" si="11"/>
        <v>TEN</v>
      </c>
      <c r="F170" t="str" cm="1">
        <f t="array" ref="F170">_xlfn.IFS(E170="DEF","DEF",TRUE,LEFT(E170,2))</f>
        <v>TE</v>
      </c>
      <c r="G170">
        <f>COUNTIFS(F$1:F170,F170)</f>
        <v>17</v>
      </c>
      <c r="H170" t="str">
        <f t="shared" si="12"/>
        <v>TE 17</v>
      </c>
      <c r="I170" t="str">
        <f t="shared" si="13"/>
        <v>6.7</v>
      </c>
    </row>
    <row r="171" spans="1:9" x14ac:dyDescent="0.25">
      <c r="A171" s="4" t="s">
        <v>515</v>
      </c>
      <c r="B171" t="s">
        <v>999</v>
      </c>
      <c r="C171" t="str">
        <f t="shared" si="14"/>
        <v>Joshua Palmer LAC - WRLV Sun 4:25PM--3.552.528WR 696.6</v>
      </c>
      <c r="D171" t="str">
        <f t="shared" si="10"/>
        <v>Joshua Palmer </v>
      </c>
      <c r="E171" t="str">
        <f t="shared" si="11"/>
        <v>WRL</v>
      </c>
      <c r="F171" t="str" cm="1">
        <f t="array" ref="F171">_xlfn.IFS(E171="DEF","DEF",TRUE,LEFT(E171,2))</f>
        <v>WR</v>
      </c>
      <c r="G171">
        <f>COUNTIFS(F$1:F171,F171)</f>
        <v>69</v>
      </c>
      <c r="H171" t="str">
        <f t="shared" si="12"/>
        <v>WR 69</v>
      </c>
      <c r="I171" t="str">
        <f t="shared" si="13"/>
        <v>6.6</v>
      </c>
    </row>
    <row r="172" spans="1:9" x14ac:dyDescent="0.25">
      <c r="A172" s="4" t="s">
        <v>518</v>
      </c>
      <c r="B172" t="s">
        <v>1000</v>
      </c>
      <c r="C172" t="str">
        <f t="shared" si="14"/>
        <v>Gerald Everett LAC - TELV Sun 4:25PM--3.552.528TE 186.6</v>
      </c>
      <c r="D172" t="str">
        <f t="shared" si="10"/>
        <v>Gerald Everett </v>
      </c>
      <c r="E172" t="str">
        <f t="shared" si="11"/>
        <v>TEL</v>
      </c>
      <c r="F172" t="str" cm="1">
        <f t="array" ref="F172">_xlfn.IFS(E172="DEF","DEF",TRUE,LEFT(E172,2))</f>
        <v>TE</v>
      </c>
      <c r="G172">
        <f>COUNTIFS(F$1:F172,F172)</f>
        <v>18</v>
      </c>
      <c r="H172" t="str">
        <f t="shared" si="12"/>
        <v>TE 18</v>
      </c>
      <c r="I172" t="str">
        <f t="shared" si="13"/>
        <v>6.6</v>
      </c>
    </row>
    <row r="173" spans="1:9" x14ac:dyDescent="0.25">
      <c r="A173" s="4" t="s">
        <v>521</v>
      </c>
      <c r="B173" t="s">
        <v>1001</v>
      </c>
      <c r="C173" t="str">
        <f t="shared" si="14"/>
        <v>Evan Engram JAC - TE@WAS Sun 1:00PM-343.520.5TE 196.6</v>
      </c>
      <c r="D173" t="str">
        <f t="shared" si="10"/>
        <v>Evan Engram </v>
      </c>
      <c r="E173" t="str">
        <f t="shared" si="11"/>
        <v>TE@</v>
      </c>
      <c r="F173" t="str" cm="1">
        <f t="array" ref="F173">_xlfn.IFS(E173="DEF","DEF",TRUE,LEFT(E173,2))</f>
        <v>TE</v>
      </c>
      <c r="G173">
        <f>COUNTIFS(F$1:F173,F173)</f>
        <v>19</v>
      </c>
      <c r="H173" t="str">
        <f t="shared" si="12"/>
        <v>TE 19</v>
      </c>
      <c r="I173" t="str">
        <f t="shared" si="13"/>
        <v>6.6</v>
      </c>
    </row>
    <row r="174" spans="1:9" x14ac:dyDescent="0.25">
      <c r="A174" s="4" t="s">
        <v>524</v>
      </c>
      <c r="B174" t="s">
        <v>1002</v>
      </c>
      <c r="C174" t="str">
        <f t="shared" si="14"/>
        <v>Van Jefferson LAR - WRBUF Thu 8:20PM-2.552.525WR 706.5</v>
      </c>
      <c r="D174" t="str">
        <f t="shared" si="10"/>
        <v>Van Jefferson </v>
      </c>
      <c r="E174" t="str">
        <f t="shared" si="11"/>
        <v>WRB</v>
      </c>
      <c r="F174" t="str" cm="1">
        <f t="array" ref="F174">_xlfn.IFS(E174="DEF","DEF",TRUE,LEFT(E174,2))</f>
        <v>WR</v>
      </c>
      <c r="G174">
        <f>COUNTIFS(F$1:F174,F174)</f>
        <v>70</v>
      </c>
      <c r="H174" t="str">
        <f t="shared" si="12"/>
        <v>WR 70</v>
      </c>
      <c r="I174" t="str">
        <f t="shared" si="13"/>
        <v>6.5</v>
      </c>
    </row>
    <row r="175" spans="1:9" x14ac:dyDescent="0.25">
      <c r="A175" s="4" t="s">
        <v>527</v>
      </c>
      <c r="B175" t="s">
        <v>1003</v>
      </c>
      <c r="C175" t="str">
        <f t="shared" si="14"/>
        <v>Jamaal Williams DET - RBPHI Sun 1:00PM-448.522.5RB 436.5</v>
      </c>
      <c r="D175" t="str">
        <f t="shared" si="10"/>
        <v>Jamaal Williams </v>
      </c>
      <c r="E175" t="str">
        <f t="shared" si="11"/>
        <v>RBP</v>
      </c>
      <c r="F175" t="str" cm="1">
        <f t="array" ref="F175">_xlfn.IFS(E175="DEF","DEF",TRUE,LEFT(E175,2))</f>
        <v>RB</v>
      </c>
      <c r="G175">
        <f>COUNTIFS(F$1:F175,F175)</f>
        <v>43</v>
      </c>
      <c r="H175" t="str">
        <f t="shared" si="12"/>
        <v>RB 43</v>
      </c>
      <c r="I175" t="str">
        <f t="shared" si="13"/>
        <v>6.5</v>
      </c>
    </row>
    <row r="176" spans="1:9" x14ac:dyDescent="0.25">
      <c r="A176" s="4" t="s">
        <v>530</v>
      </c>
      <c r="B176" t="s">
        <v>1004</v>
      </c>
      <c r="C176" t="str">
        <f t="shared" si="14"/>
        <v>Kenneth Gainwell PHI - RB@DET Sun 1:00PM--448.526.5RB 446.5</v>
      </c>
      <c r="D176" t="str">
        <f t="shared" si="10"/>
        <v>Kenneth Gainwell </v>
      </c>
      <c r="E176" t="str">
        <f t="shared" si="11"/>
        <v>RB@</v>
      </c>
      <c r="F176" t="str" cm="1">
        <f t="array" ref="F176">_xlfn.IFS(E176="DEF","DEF",TRUE,LEFT(E176,2))</f>
        <v>RB</v>
      </c>
      <c r="G176">
        <f>COUNTIFS(F$1:F176,F176)</f>
        <v>44</v>
      </c>
      <c r="H176" t="str">
        <f t="shared" si="12"/>
        <v>RB 44</v>
      </c>
      <c r="I176" t="str">
        <f t="shared" si="13"/>
        <v>6.5</v>
      </c>
    </row>
    <row r="177" spans="1:9" x14ac:dyDescent="0.25">
      <c r="A177" s="4" t="s">
        <v>533</v>
      </c>
      <c r="B177" t="s">
        <v>1005</v>
      </c>
      <c r="C177" t="str">
        <f t="shared" si="14"/>
        <v>Austin Hooper TEN - TENYG Sun 4:25PM--5.543.524.5TE 206.4</v>
      </c>
      <c r="D177" t="str">
        <f t="shared" si="10"/>
        <v>Austin Hooper </v>
      </c>
      <c r="E177" t="str">
        <f t="shared" si="11"/>
        <v>TEN</v>
      </c>
      <c r="F177" t="str" cm="1">
        <f t="array" ref="F177">_xlfn.IFS(E177="DEF","DEF",TRUE,LEFT(E177,2))</f>
        <v>TE</v>
      </c>
      <c r="G177">
        <f>COUNTIFS(F$1:F177,F177)</f>
        <v>20</v>
      </c>
      <c r="H177" t="str">
        <f t="shared" si="12"/>
        <v>TE 20</v>
      </c>
      <c r="I177" t="str">
        <f t="shared" si="13"/>
        <v>6.4</v>
      </c>
    </row>
    <row r="178" spans="1:9" x14ac:dyDescent="0.25">
      <c r="A178" s="4" t="s">
        <v>536</v>
      </c>
      <c r="B178" t="s">
        <v>1006</v>
      </c>
      <c r="C178" t="str">
        <f t="shared" si="14"/>
        <v>Curtis Samuel WAS - WRJAC Sun 1:00PM--343.523.5WR 716.4</v>
      </c>
      <c r="D178" t="str">
        <f t="shared" si="10"/>
        <v>Curtis Samuel </v>
      </c>
      <c r="E178" t="str">
        <f t="shared" si="11"/>
        <v>WRJ</v>
      </c>
      <c r="F178" t="str" cm="1">
        <f t="array" ref="F178">_xlfn.IFS(E178="DEF","DEF",TRUE,LEFT(E178,2))</f>
        <v>WR</v>
      </c>
      <c r="G178">
        <f>COUNTIFS(F$1:F178,F178)</f>
        <v>71</v>
      </c>
      <c r="H178" t="str">
        <f t="shared" si="12"/>
        <v>WR 71</v>
      </c>
      <c r="I178" t="str">
        <f t="shared" si="13"/>
        <v>6.4</v>
      </c>
    </row>
    <row r="179" spans="1:9" x14ac:dyDescent="0.25">
      <c r="A179" s="4" t="s">
        <v>539</v>
      </c>
      <c r="B179" t="s">
        <v>1007</v>
      </c>
      <c r="C179" t="str">
        <f t="shared" si="14"/>
        <v>Tampa Bay Buccaneers TB - DEF@DAL Sun 8:20PM--1.55026DEF 116.4</v>
      </c>
      <c r="D179" t="str">
        <f t="shared" si="10"/>
        <v>Tampa Bay Buccaneers</v>
      </c>
      <c r="E179" t="str">
        <f t="shared" si="11"/>
        <v>DEF</v>
      </c>
      <c r="F179" t="str" cm="1">
        <f t="array" ref="F179">_xlfn.IFS(E179="DEF","DEF",TRUE,LEFT(E179,2))</f>
        <v>DEF</v>
      </c>
      <c r="G179">
        <f>COUNTIFS(F$1:F179,F179)</f>
        <v>11</v>
      </c>
      <c r="H179" t="str">
        <f t="shared" si="12"/>
        <v>DEF 11</v>
      </c>
      <c r="I179" t="str">
        <f t="shared" si="13"/>
        <v>6.4</v>
      </c>
    </row>
    <row r="180" spans="1:9" x14ac:dyDescent="0.25">
      <c r="A180" s="4" t="s">
        <v>542</v>
      </c>
      <c r="B180" t="s">
        <v>1008</v>
      </c>
      <c r="C180" t="str">
        <f t="shared" si="14"/>
        <v>Raheem Mostert MIA - RBNE Sun 1:00PM--346.525RB 456.4</v>
      </c>
      <c r="D180" t="str">
        <f t="shared" si="10"/>
        <v>Raheem Mostert </v>
      </c>
      <c r="E180" t="str">
        <f t="shared" si="11"/>
        <v>RBN</v>
      </c>
      <c r="F180" t="str" cm="1">
        <f t="array" ref="F180">_xlfn.IFS(E180="DEF","DEF",TRUE,LEFT(E180,2))</f>
        <v>RB</v>
      </c>
      <c r="G180">
        <f>COUNTIFS(F$1:F180,F180)</f>
        <v>45</v>
      </c>
      <c r="H180" t="str">
        <f t="shared" si="12"/>
        <v>RB 45</v>
      </c>
      <c r="I180" t="str">
        <f t="shared" si="13"/>
        <v>6.4</v>
      </c>
    </row>
    <row r="181" spans="1:9" x14ac:dyDescent="0.25">
      <c r="A181" s="4" t="s">
        <v>545</v>
      </c>
      <c r="B181" t="s">
        <v>1009</v>
      </c>
      <c r="C181" t="str">
        <f t="shared" si="14"/>
        <v>Alec Pierce IND - WR@HOU Sun 1:00PM--84627WR 726.3</v>
      </c>
      <c r="D181" t="str">
        <f t="shared" si="10"/>
        <v>Alec Pierce </v>
      </c>
      <c r="E181" t="str">
        <f t="shared" si="11"/>
        <v>WR@</v>
      </c>
      <c r="F181" t="str" cm="1">
        <f t="array" ref="F181">_xlfn.IFS(E181="DEF","DEF",TRUE,LEFT(E181,2))</f>
        <v>WR</v>
      </c>
      <c r="G181">
        <f>COUNTIFS(F$1:F181,F181)</f>
        <v>72</v>
      </c>
      <c r="H181" t="str">
        <f t="shared" si="12"/>
        <v>WR 72</v>
      </c>
      <c r="I181" t="str">
        <f t="shared" si="13"/>
        <v>6.3</v>
      </c>
    </row>
    <row r="182" spans="1:9" x14ac:dyDescent="0.25">
      <c r="A182" s="4" t="s">
        <v>548</v>
      </c>
      <c r="B182" t="s">
        <v>1010</v>
      </c>
      <c r="C182" t="str">
        <f t="shared" si="14"/>
        <v>Philadelphia Eagles PHI - DEF@DET Sun 1:00PM--448.526.5DEF 126.3</v>
      </c>
      <c r="D182" t="str">
        <f t="shared" si="10"/>
        <v>Philadelphia Eagles </v>
      </c>
      <c r="E182" t="str">
        <f t="shared" si="11"/>
        <v>DEF</v>
      </c>
      <c r="F182" t="str" cm="1">
        <f t="array" ref="F182">_xlfn.IFS(E182="DEF","DEF",TRUE,LEFT(E182,2))</f>
        <v>DEF</v>
      </c>
      <c r="G182">
        <f>COUNTIFS(F$1:F182,F182)</f>
        <v>12</v>
      </c>
      <c r="H182" t="str">
        <f t="shared" si="12"/>
        <v>DEF 12</v>
      </c>
      <c r="I182" t="str">
        <f t="shared" si="13"/>
        <v>6.3</v>
      </c>
    </row>
    <row r="183" spans="1:9" x14ac:dyDescent="0.25">
      <c r="A183" s="4" t="s">
        <v>551</v>
      </c>
      <c r="B183" t="s">
        <v>1011</v>
      </c>
      <c r="C183" t="str">
        <f t="shared" si="14"/>
        <v>A.J. Green ARI - WRKC Sun 4:25PM-453.525WR 736.3</v>
      </c>
      <c r="D183" t="str">
        <f t="shared" si="10"/>
        <v>A.J. Green </v>
      </c>
      <c r="E183" t="str">
        <f t="shared" si="11"/>
        <v>WRK</v>
      </c>
      <c r="F183" t="str" cm="1">
        <f t="array" ref="F183">_xlfn.IFS(E183="DEF","DEF",TRUE,LEFT(E183,2))</f>
        <v>WR</v>
      </c>
      <c r="G183">
        <f>COUNTIFS(F$1:F183,F183)</f>
        <v>73</v>
      </c>
      <c r="H183" t="str">
        <f t="shared" si="12"/>
        <v>WR 73</v>
      </c>
      <c r="I183" t="str">
        <f t="shared" si="13"/>
        <v>6.3</v>
      </c>
    </row>
    <row r="184" spans="1:9" x14ac:dyDescent="0.25">
      <c r="A184" s="4" t="s">
        <v>554</v>
      </c>
      <c r="B184" t="s">
        <v>1012</v>
      </c>
      <c r="C184" t="str">
        <f t="shared" si="14"/>
        <v>New England Patriots NE - DEF@MIA Sun 1:00PM-346.522DEF 136.2</v>
      </c>
      <c r="D184" t="str">
        <f t="shared" si="10"/>
        <v>New England Patriots</v>
      </c>
      <c r="E184" t="str">
        <f t="shared" si="11"/>
        <v>DEF</v>
      </c>
      <c r="F184" t="str" cm="1">
        <f t="array" ref="F184">_xlfn.IFS(E184="DEF","DEF",TRUE,LEFT(E184,2))</f>
        <v>DEF</v>
      </c>
      <c r="G184">
        <f>COUNTIFS(F$1:F184,F184)</f>
        <v>13</v>
      </c>
      <c r="H184" t="str">
        <f t="shared" si="12"/>
        <v>DEF 13</v>
      </c>
      <c r="I184" t="str">
        <f t="shared" si="13"/>
        <v>6.2</v>
      </c>
    </row>
    <row r="185" spans="1:9" x14ac:dyDescent="0.25">
      <c r="A185" s="4" t="s">
        <v>557</v>
      </c>
      <c r="B185" t="s">
        <v>1013</v>
      </c>
      <c r="C185" t="str">
        <f t="shared" si="14"/>
        <v>Donovan Peoples-Jones CLE - WR@CAR Sun 1:00PM-2.541.519.5WR 746.2</v>
      </c>
      <c r="D185" t="str">
        <f t="shared" si="10"/>
        <v>Donovan Peoples-Jones </v>
      </c>
      <c r="E185" t="str">
        <f t="shared" si="11"/>
        <v>WR@</v>
      </c>
      <c r="F185" t="str" cm="1">
        <f t="array" ref="F185">_xlfn.IFS(E185="DEF","DEF",TRUE,LEFT(E185,2))</f>
        <v>WR</v>
      </c>
      <c r="G185">
        <f>COUNTIFS(F$1:F185,F185)</f>
        <v>74</v>
      </c>
      <c r="H185" t="str">
        <f t="shared" si="12"/>
        <v>WR 74</v>
      </c>
      <c r="I185" t="str">
        <f t="shared" si="13"/>
        <v>6.2</v>
      </c>
    </row>
    <row r="186" spans="1:9" x14ac:dyDescent="0.25">
      <c r="A186" s="4" t="s">
        <v>560</v>
      </c>
      <c r="B186" t="s">
        <v>1014</v>
      </c>
      <c r="C186" t="str">
        <f t="shared" si="14"/>
        <v>Alexander Mattison MIN - RBGB Sun 4:25PM-1.54823.5RB 466.2</v>
      </c>
      <c r="D186" t="str">
        <f t="shared" si="10"/>
        <v>Alexander Mattison </v>
      </c>
      <c r="E186" t="str">
        <f t="shared" si="11"/>
        <v>RBG</v>
      </c>
      <c r="F186" t="str" cm="1">
        <f t="array" ref="F186">_xlfn.IFS(E186="DEF","DEF",TRUE,LEFT(E186,2))</f>
        <v>RB</v>
      </c>
      <c r="G186">
        <f>COUNTIFS(F$1:F186,F186)</f>
        <v>46</v>
      </c>
      <c r="H186" t="str">
        <f t="shared" si="12"/>
        <v>RB 46</v>
      </c>
      <c r="I186" t="str">
        <f t="shared" si="13"/>
        <v>6.2</v>
      </c>
    </row>
    <row r="187" spans="1:9" x14ac:dyDescent="0.25">
      <c r="A187" s="4" t="s">
        <v>563</v>
      </c>
      <c r="B187" t="s">
        <v>1015</v>
      </c>
      <c r="C187" t="str">
        <f t="shared" si="14"/>
        <v>Tyler Higbee LAR - TEBUF Thu 8:20PM-2.552.525TE 216.2</v>
      </c>
      <c r="D187" t="str">
        <f t="shared" si="10"/>
        <v>Tyler Higbee </v>
      </c>
      <c r="E187" t="str">
        <f t="shared" si="11"/>
        <v>TEB</v>
      </c>
      <c r="F187" t="str" cm="1">
        <f t="array" ref="F187">_xlfn.IFS(E187="DEF","DEF",TRUE,LEFT(E187,2))</f>
        <v>TE</v>
      </c>
      <c r="G187">
        <f>COUNTIFS(F$1:F187,F187)</f>
        <v>21</v>
      </c>
      <c r="H187" t="str">
        <f t="shared" si="12"/>
        <v>TE 21</v>
      </c>
      <c r="I187" t="str">
        <f t="shared" si="13"/>
        <v>6.2</v>
      </c>
    </row>
    <row r="188" spans="1:9" x14ac:dyDescent="0.25">
      <c r="A188" s="4" t="s">
        <v>566</v>
      </c>
      <c r="B188" t="s">
        <v>1016</v>
      </c>
      <c r="C188" t="str">
        <f t="shared" si="14"/>
        <v>Los Angeles Chargers LAC - DEFLV Sun 4:25PM--3.552.528DEF 146.2</v>
      </c>
      <c r="D188" t="str">
        <f t="shared" si="10"/>
        <v>Los Angeles Chargers </v>
      </c>
      <c r="E188" t="str">
        <f t="shared" si="11"/>
        <v>DEF</v>
      </c>
      <c r="F188" t="str" cm="1">
        <f t="array" ref="F188">_xlfn.IFS(E188="DEF","DEF",TRUE,LEFT(E188,2))</f>
        <v>DEF</v>
      </c>
      <c r="G188">
        <f>COUNTIFS(F$1:F188,F188)</f>
        <v>14</v>
      </c>
      <c r="H188" t="str">
        <f t="shared" si="12"/>
        <v>DEF 14</v>
      </c>
      <c r="I188" t="str">
        <f t="shared" si="13"/>
        <v>6.2</v>
      </c>
    </row>
    <row r="189" spans="1:9" x14ac:dyDescent="0.25">
      <c r="A189" s="4" t="s">
        <v>569</v>
      </c>
      <c r="B189" t="s">
        <v>1017</v>
      </c>
      <c r="C189" t="str">
        <f t="shared" si="14"/>
        <v>Green Bay Packers GB - DEF@MIN Sun 4:25PM--1.54825DEF 156.1</v>
      </c>
      <c r="D189" t="str">
        <f t="shared" si="10"/>
        <v>Green Bay Packers</v>
      </c>
      <c r="E189" t="str">
        <f t="shared" si="11"/>
        <v>DEF</v>
      </c>
      <c r="F189" t="str" cm="1">
        <f t="array" ref="F189">_xlfn.IFS(E189="DEF","DEF",TRUE,LEFT(E189,2))</f>
        <v>DEF</v>
      </c>
      <c r="G189">
        <f>COUNTIFS(F$1:F189,F189)</f>
        <v>15</v>
      </c>
      <c r="H189" t="str">
        <f t="shared" si="12"/>
        <v>DEF 15</v>
      </c>
      <c r="I189" t="str">
        <f t="shared" si="13"/>
        <v>6.1</v>
      </c>
    </row>
    <row r="190" spans="1:9" x14ac:dyDescent="0.25">
      <c r="A190" s="4" t="s">
        <v>572</v>
      </c>
      <c r="B190" t="s">
        <v>1018</v>
      </c>
      <c r="C190" t="str">
        <f t="shared" si="14"/>
        <v>Noah Fant SEA - TEDEN Mon 8:15PM-6.54318.5TE 226.0</v>
      </c>
      <c r="D190" t="str">
        <f t="shared" si="10"/>
        <v>Noah Fant </v>
      </c>
      <c r="E190" t="str">
        <f t="shared" si="11"/>
        <v>TED</v>
      </c>
      <c r="F190" t="str" cm="1">
        <f t="array" ref="F190">_xlfn.IFS(E190="DEF","DEF",TRUE,LEFT(E190,2))</f>
        <v>TE</v>
      </c>
      <c r="G190">
        <f>COUNTIFS(F$1:F190,F190)</f>
        <v>22</v>
      </c>
      <c r="H190" t="str">
        <f t="shared" si="12"/>
        <v>TE 22</v>
      </c>
      <c r="I190" t="str">
        <f t="shared" si="13"/>
        <v>6.0</v>
      </c>
    </row>
    <row r="191" spans="1:9" x14ac:dyDescent="0.25">
      <c r="A191" s="4" t="s">
        <v>575</v>
      </c>
      <c r="B191" t="s">
        <v>1019</v>
      </c>
      <c r="C191" t="str">
        <f t="shared" si="14"/>
        <v>Parris Campbell IND - WR@HOU Sun 1:00PM--84627WR 756.0</v>
      </c>
      <c r="D191" t="str">
        <f t="shared" si="10"/>
        <v>Parris Campbell </v>
      </c>
      <c r="E191" t="str">
        <f t="shared" si="11"/>
        <v>WR@</v>
      </c>
      <c r="F191" t="str" cm="1">
        <f t="array" ref="F191">_xlfn.IFS(E191="DEF","DEF",TRUE,LEFT(E191,2))</f>
        <v>WR</v>
      </c>
      <c r="G191">
        <f>COUNTIFS(F$1:F191,F191)</f>
        <v>75</v>
      </c>
      <c r="H191" t="str">
        <f t="shared" si="12"/>
        <v>WR 75</v>
      </c>
      <c r="I191" t="str">
        <f t="shared" si="13"/>
        <v>6.0</v>
      </c>
    </row>
    <row r="192" spans="1:9" x14ac:dyDescent="0.25">
      <c r="A192" s="4" t="s">
        <v>578</v>
      </c>
      <c r="B192" t="s">
        <v>1020</v>
      </c>
      <c r="C192" t="str">
        <f t="shared" si="14"/>
        <v>Kansas City Chiefs KC - DEF@ARI Sun 4:25PM--4.553.529DEF 166.0</v>
      </c>
      <c r="D192" t="str">
        <f t="shared" si="10"/>
        <v>Kansas City Chiefs</v>
      </c>
      <c r="E192" t="str">
        <f t="shared" si="11"/>
        <v>DEF</v>
      </c>
      <c r="F192" t="str" cm="1">
        <f t="array" ref="F192">_xlfn.IFS(E192="DEF","DEF",TRUE,LEFT(E192,2))</f>
        <v>DEF</v>
      </c>
      <c r="G192">
        <f>COUNTIFS(F$1:F192,F192)</f>
        <v>16</v>
      </c>
      <c r="H192" t="str">
        <f t="shared" si="12"/>
        <v>DEF 16</v>
      </c>
      <c r="I192" t="str">
        <f t="shared" si="13"/>
        <v>6.0</v>
      </c>
    </row>
    <row r="193" spans="1:9" x14ac:dyDescent="0.25">
      <c r="A193" s="4" t="s">
        <v>581</v>
      </c>
      <c r="B193" t="s">
        <v>1021</v>
      </c>
      <c r="C193" t="str">
        <f t="shared" si="14"/>
        <v>Zay Jones JAC - WR@WAS Sun 1:00PM-343.520.5WR 766.0</v>
      </c>
      <c r="D193" t="str">
        <f t="shared" si="10"/>
        <v>Zay Jones </v>
      </c>
      <c r="E193" t="str">
        <f t="shared" si="11"/>
        <v>WR@</v>
      </c>
      <c r="F193" t="str" cm="1">
        <f t="array" ref="F193">_xlfn.IFS(E193="DEF","DEF",TRUE,LEFT(E193,2))</f>
        <v>WR</v>
      </c>
      <c r="G193">
        <f>COUNTIFS(F$1:F193,F193)</f>
        <v>76</v>
      </c>
      <c r="H193" t="str">
        <f t="shared" si="12"/>
        <v>WR 76</v>
      </c>
      <c r="I193" t="str">
        <f t="shared" si="13"/>
        <v>6.0</v>
      </c>
    </row>
    <row r="194" spans="1:9" x14ac:dyDescent="0.25">
      <c r="A194" s="4" t="s">
        <v>584</v>
      </c>
      <c r="B194" t="s">
        <v>1022</v>
      </c>
      <c r="C194" t="str">
        <f t="shared" si="14"/>
        <v>Los Angeles Rams LAR - DEFBUF Thu 8:20PM-2.552.525DEF 176.0</v>
      </c>
      <c r="D194" t="str">
        <f t="shared" ref="D194:D257" si="15">TRIM(LEFT(C194,FIND(" - ",C194) - 4))</f>
        <v>Los Angeles Rams </v>
      </c>
      <c r="E194" t="str">
        <f t="shared" ref="E194:E257" si="16">MID(C194,FIND(" - ",C194)+3,3)</f>
        <v>DEF</v>
      </c>
      <c r="F194" t="str" cm="1">
        <f t="array" ref="F194">_xlfn.IFS(E194="DEF","DEF",TRUE,LEFT(E194,2))</f>
        <v>DEF</v>
      </c>
      <c r="G194">
        <f>COUNTIFS(F$1:F194,F194)</f>
        <v>17</v>
      </c>
      <c r="H194" t="str">
        <f t="shared" ref="H194:H257" si="17">F194&amp;" "&amp;G194</f>
        <v>DEF 17</v>
      </c>
      <c r="I194" t="str">
        <f t="shared" ref="I194:I257" si="18">RIGHT(C194,LEN(C194)-FIND(H194,C194)-LEN(H194)+1)</f>
        <v>6.0</v>
      </c>
    </row>
    <row r="195" spans="1:9" x14ac:dyDescent="0.25">
      <c r="A195" s="4" t="s">
        <v>587</v>
      </c>
      <c r="B195" t="s">
        <v>1023</v>
      </c>
      <c r="C195" t="str">
        <f t="shared" ref="C195:C258" si="19">B195</f>
        <v>Pittsburgh Steelers PIT - DEF@CIN Sun 1:00PM-6.544.519DEF 186.0</v>
      </c>
      <c r="D195" t="str">
        <f t="shared" si="15"/>
        <v>Pittsburgh Steelers </v>
      </c>
      <c r="E195" t="str">
        <f t="shared" si="16"/>
        <v>DEF</v>
      </c>
      <c r="F195" t="str" cm="1">
        <f t="array" ref="F195">_xlfn.IFS(E195="DEF","DEF",TRUE,LEFT(E195,2))</f>
        <v>DEF</v>
      </c>
      <c r="G195">
        <f>COUNTIFS(F$1:F195,F195)</f>
        <v>18</v>
      </c>
      <c r="H195" t="str">
        <f t="shared" si="17"/>
        <v>DEF 18</v>
      </c>
      <c r="I195" t="str">
        <f t="shared" si="18"/>
        <v>6.0</v>
      </c>
    </row>
    <row r="196" spans="1:9" x14ac:dyDescent="0.25">
      <c r="A196" s="4" t="s">
        <v>590</v>
      </c>
      <c r="B196" t="s">
        <v>1024</v>
      </c>
      <c r="C196" t="str">
        <f t="shared" si="19"/>
        <v>Mark Ingram II NO - RB@ATL Sun 1:00PM--5.542.524RB 476.0</v>
      </c>
      <c r="D196" t="str">
        <f t="shared" si="15"/>
        <v>Mark Ingram II</v>
      </c>
      <c r="E196" t="str">
        <f t="shared" si="16"/>
        <v>RB@</v>
      </c>
      <c r="F196" t="str" cm="1">
        <f t="array" ref="F196">_xlfn.IFS(E196="DEF","DEF",TRUE,LEFT(E196,2))</f>
        <v>RB</v>
      </c>
      <c r="G196">
        <f>COUNTIFS(F$1:F196,F196)</f>
        <v>47</v>
      </c>
      <c r="H196" t="str">
        <f t="shared" si="17"/>
        <v>RB 47</v>
      </c>
      <c r="I196" t="str">
        <f t="shared" si="18"/>
        <v>6.0</v>
      </c>
    </row>
    <row r="197" spans="1:9" x14ac:dyDescent="0.25">
      <c r="A197" s="4" t="s">
        <v>593</v>
      </c>
      <c r="B197" t="s">
        <v>1025</v>
      </c>
      <c r="C197" t="str">
        <f t="shared" si="19"/>
        <v>Sammy Watkins GB - WR@MIN Sun 4:25PM--1.54825WR 776.0</v>
      </c>
      <c r="D197" t="str">
        <f t="shared" si="15"/>
        <v>Sammy Watkins</v>
      </c>
      <c r="E197" t="str">
        <f t="shared" si="16"/>
        <v>WR@</v>
      </c>
      <c r="F197" t="str" cm="1">
        <f t="array" ref="F197">_xlfn.IFS(E197="DEF","DEF",TRUE,LEFT(E197,2))</f>
        <v>WR</v>
      </c>
      <c r="G197">
        <f>COUNTIFS(F$1:F197,F197)</f>
        <v>77</v>
      </c>
      <c r="H197" t="str">
        <f t="shared" si="17"/>
        <v>WR 77</v>
      </c>
      <c r="I197" t="str">
        <f t="shared" si="18"/>
        <v>6.0</v>
      </c>
    </row>
    <row r="198" spans="1:9" x14ac:dyDescent="0.25">
      <c r="A198" s="4" t="s">
        <v>596</v>
      </c>
      <c r="B198" t="s">
        <v>1026</v>
      </c>
      <c r="C198" t="str">
        <f t="shared" si="19"/>
        <v>Christian Watson GB - WR@MIN Sun 4:25PM--1.54825WR 785.9</v>
      </c>
      <c r="D198" t="str">
        <f t="shared" si="15"/>
        <v>Christian Watson</v>
      </c>
      <c r="E198" t="str">
        <f t="shared" si="16"/>
        <v>WR@</v>
      </c>
      <c r="F198" t="str" cm="1">
        <f t="array" ref="F198">_xlfn.IFS(E198="DEF","DEF",TRUE,LEFT(E198,2))</f>
        <v>WR</v>
      </c>
      <c r="G198">
        <f>COUNTIFS(F$1:F198,F198)</f>
        <v>78</v>
      </c>
      <c r="H198" t="str">
        <f t="shared" si="17"/>
        <v>WR 78</v>
      </c>
      <c r="I198" t="str">
        <f t="shared" si="18"/>
        <v>5.9</v>
      </c>
    </row>
    <row r="199" spans="1:9" x14ac:dyDescent="0.25">
      <c r="A199" s="4" t="s">
        <v>599</v>
      </c>
      <c r="B199" t="s">
        <v>1027</v>
      </c>
      <c r="C199" t="str">
        <f t="shared" si="19"/>
        <v>Wan'Dale Robinson NYG - WR@TEN Sun 4:25PM-5.543.519WR 795.9</v>
      </c>
      <c r="D199" t="str">
        <f t="shared" si="15"/>
        <v>Wan'Dale Robinson </v>
      </c>
      <c r="E199" t="str">
        <f t="shared" si="16"/>
        <v>WR@</v>
      </c>
      <c r="F199" t="str" cm="1">
        <f t="array" ref="F199">_xlfn.IFS(E199="DEF","DEF",TRUE,LEFT(E199,2))</f>
        <v>WR</v>
      </c>
      <c r="G199">
        <f>COUNTIFS(F$1:F199,F199)</f>
        <v>79</v>
      </c>
      <c r="H199" t="str">
        <f t="shared" si="17"/>
        <v>WR 79</v>
      </c>
      <c r="I199" t="str">
        <f t="shared" si="18"/>
        <v>5.9</v>
      </c>
    </row>
    <row r="200" spans="1:9" x14ac:dyDescent="0.25">
      <c r="A200" s="4" t="s">
        <v>602</v>
      </c>
      <c r="B200" t="s">
        <v>1028</v>
      </c>
      <c r="C200" t="str">
        <f t="shared" si="19"/>
        <v>Carolina Panthers CAR - DEFCLE Sun 1:00PM--2.541.522DEF 195.9</v>
      </c>
      <c r="D200" t="str">
        <f t="shared" si="15"/>
        <v>Carolina Panthers </v>
      </c>
      <c r="E200" t="str">
        <f t="shared" si="16"/>
        <v>DEF</v>
      </c>
      <c r="F200" t="str" cm="1">
        <f t="array" ref="F200">_xlfn.IFS(E200="DEF","DEF",TRUE,LEFT(E200,2))</f>
        <v>DEF</v>
      </c>
      <c r="G200">
        <f>COUNTIFS(F$1:F200,F200)</f>
        <v>19</v>
      </c>
      <c r="H200" t="str">
        <f t="shared" si="17"/>
        <v>DEF 19</v>
      </c>
      <c r="I200" t="str">
        <f t="shared" si="18"/>
        <v>5.9</v>
      </c>
    </row>
    <row r="201" spans="1:9" x14ac:dyDescent="0.25">
      <c r="A201" s="4" t="s">
        <v>605</v>
      </c>
      <c r="B201" t="s">
        <v>1029</v>
      </c>
      <c r="C201" t="str">
        <f t="shared" si="19"/>
        <v>Washington Commanders WAS - DEFJAC Sun 1:00PM--343.523.5DEF 205.9</v>
      </c>
      <c r="D201" t="str">
        <f t="shared" si="15"/>
        <v>Washington Commanders </v>
      </c>
      <c r="E201" t="str">
        <f t="shared" si="16"/>
        <v>DEF</v>
      </c>
      <c r="F201" t="str" cm="1">
        <f t="array" ref="F201">_xlfn.IFS(E201="DEF","DEF",TRUE,LEFT(E201,2))</f>
        <v>DEF</v>
      </c>
      <c r="G201">
        <f>COUNTIFS(F$1:F201,F201)</f>
        <v>20</v>
      </c>
      <c r="H201" t="str">
        <f t="shared" si="17"/>
        <v>DEF 20</v>
      </c>
      <c r="I201" t="str">
        <f t="shared" si="18"/>
        <v>5.9</v>
      </c>
    </row>
    <row r="202" spans="1:9" x14ac:dyDescent="0.25">
      <c r="A202" s="4" t="s">
        <v>608</v>
      </c>
      <c r="B202" t="s">
        <v>1030</v>
      </c>
      <c r="C202" t="str">
        <f t="shared" si="19"/>
        <v>Romeo Doubs GB - WR@MIN Sun 4:25PM--1.54825WR 805.9</v>
      </c>
      <c r="D202" t="str">
        <f t="shared" si="15"/>
        <v>Romeo Doubs</v>
      </c>
      <c r="E202" t="str">
        <f t="shared" si="16"/>
        <v>WR@</v>
      </c>
      <c r="F202" t="str" cm="1">
        <f t="array" ref="F202">_xlfn.IFS(E202="DEF","DEF",TRUE,LEFT(E202,2))</f>
        <v>WR</v>
      </c>
      <c r="G202">
        <f>COUNTIFS(F$1:F202,F202)</f>
        <v>80</v>
      </c>
      <c r="H202" t="str">
        <f t="shared" si="17"/>
        <v>WR 80</v>
      </c>
      <c r="I202" t="str">
        <f t="shared" si="18"/>
        <v>5.9</v>
      </c>
    </row>
    <row r="203" spans="1:9" x14ac:dyDescent="0.25">
      <c r="A203" s="4" t="s">
        <v>611</v>
      </c>
      <c r="B203" t="s">
        <v>1031</v>
      </c>
      <c r="C203" t="str">
        <f t="shared" si="19"/>
        <v>Dallas Cowboys DAL - DEFTB Sun 8:20PM-1.55024.5DEF 215.8</v>
      </c>
      <c r="D203" t="str">
        <f t="shared" si="15"/>
        <v>Dallas Cowboys </v>
      </c>
      <c r="E203" t="str">
        <f t="shared" si="16"/>
        <v>DEF</v>
      </c>
      <c r="F203" t="str" cm="1">
        <f t="array" ref="F203">_xlfn.IFS(E203="DEF","DEF",TRUE,LEFT(E203,2))</f>
        <v>DEF</v>
      </c>
      <c r="G203">
        <f>COUNTIFS(F$1:F203,F203)</f>
        <v>21</v>
      </c>
      <c r="H203" t="str">
        <f t="shared" si="17"/>
        <v>DEF 21</v>
      </c>
      <c r="I203" t="str">
        <f t="shared" si="18"/>
        <v>5.8</v>
      </c>
    </row>
    <row r="204" spans="1:9" x14ac:dyDescent="0.25">
      <c r="A204" s="4" t="s">
        <v>614</v>
      </c>
      <c r="B204" t="s">
        <v>1032</v>
      </c>
      <c r="C204" t="str">
        <f t="shared" si="19"/>
        <v>Jacksonville Jaguars JAC - DEF@WAS Sun 1:00PM-343.520.5DEF 225.8</v>
      </c>
      <c r="D204" t="str">
        <f t="shared" si="15"/>
        <v>Jacksonville Jaguars </v>
      </c>
      <c r="E204" t="str">
        <f t="shared" si="16"/>
        <v>DEF</v>
      </c>
      <c r="F204" t="str" cm="1">
        <f t="array" ref="F204">_xlfn.IFS(E204="DEF","DEF",TRUE,LEFT(E204,2))</f>
        <v>DEF</v>
      </c>
      <c r="G204">
        <f>COUNTIFS(F$1:F204,F204)</f>
        <v>22</v>
      </c>
      <c r="H204" t="str">
        <f t="shared" si="17"/>
        <v>DEF 22</v>
      </c>
      <c r="I204" t="str">
        <f t="shared" si="18"/>
        <v>5.8</v>
      </c>
    </row>
    <row r="205" spans="1:9" x14ac:dyDescent="0.25">
      <c r="A205" s="4" t="s">
        <v>617</v>
      </c>
      <c r="B205" t="s">
        <v>1033</v>
      </c>
      <c r="C205" t="str">
        <f t="shared" si="19"/>
        <v>Chicago Bears CHI - DEFSF Sun 1:00PM-74117DEF 235.8</v>
      </c>
      <c r="D205" t="str">
        <f t="shared" si="15"/>
        <v>Chicago Bears </v>
      </c>
      <c r="E205" t="str">
        <f t="shared" si="16"/>
        <v>DEF</v>
      </c>
      <c r="F205" t="str" cm="1">
        <f t="array" ref="F205">_xlfn.IFS(E205="DEF","DEF",TRUE,LEFT(E205,2))</f>
        <v>DEF</v>
      </c>
      <c r="G205">
        <f>COUNTIFS(F$1:F205,F205)</f>
        <v>23</v>
      </c>
      <c r="H205" t="str">
        <f t="shared" si="17"/>
        <v>DEF 23</v>
      </c>
      <c r="I205" t="str">
        <f t="shared" si="18"/>
        <v>5.8</v>
      </c>
    </row>
    <row r="206" spans="1:9" x14ac:dyDescent="0.25">
      <c r="A206" s="4" t="s">
        <v>620</v>
      </c>
      <c r="B206" t="s">
        <v>1034</v>
      </c>
      <c r="C206" t="str">
        <f t="shared" si="19"/>
        <v>KJ Hamler DEN - WR@SEA Mon 8:15PM--6.54325WR 815.7</v>
      </c>
      <c r="D206" t="str">
        <f t="shared" si="15"/>
        <v>KJ Hamler </v>
      </c>
      <c r="E206" t="str">
        <f t="shared" si="16"/>
        <v>WR@</v>
      </c>
      <c r="F206" t="str" cm="1">
        <f t="array" ref="F206">_xlfn.IFS(E206="DEF","DEF",TRUE,LEFT(E206,2))</f>
        <v>WR</v>
      </c>
      <c r="G206">
        <f>COUNTIFS(F$1:F206,F206)</f>
        <v>81</v>
      </c>
      <c r="H206" t="str">
        <f t="shared" si="17"/>
        <v>WR 81</v>
      </c>
      <c r="I206" t="str">
        <f t="shared" si="18"/>
        <v>5.7</v>
      </c>
    </row>
    <row r="207" spans="1:9" x14ac:dyDescent="0.25">
      <c r="A207" s="4" t="s">
        <v>623</v>
      </c>
      <c r="B207" t="s">
        <v>1035</v>
      </c>
      <c r="C207" t="str">
        <f t="shared" si="19"/>
        <v>Jamison Crowder BUF - WR@LAR Thu 8:20PM--2.552.527.5WR 825.6</v>
      </c>
      <c r="D207" t="str">
        <f t="shared" si="15"/>
        <v>Jamison Crowder </v>
      </c>
      <c r="E207" t="str">
        <f t="shared" si="16"/>
        <v>WR@</v>
      </c>
      <c r="F207" t="str" cm="1">
        <f t="array" ref="F207">_xlfn.IFS(E207="DEF","DEF",TRUE,LEFT(E207,2))</f>
        <v>WR</v>
      </c>
      <c r="G207">
        <f>COUNTIFS(F$1:F207,F207)</f>
        <v>82</v>
      </c>
      <c r="H207" t="str">
        <f t="shared" si="17"/>
        <v>WR 82</v>
      </c>
      <c r="I207" t="str">
        <f t="shared" si="18"/>
        <v>5.6</v>
      </c>
    </row>
    <row r="208" spans="1:9" x14ac:dyDescent="0.25">
      <c r="A208" s="4" t="s">
        <v>626</v>
      </c>
      <c r="B208" t="s">
        <v>1036</v>
      </c>
      <c r="C208" t="str">
        <f t="shared" si="19"/>
        <v>Kendrick Bourne NE - WR@MIA Sun 1:00PM-346.522WR 835.6</v>
      </c>
      <c r="D208" t="str">
        <f t="shared" si="15"/>
        <v>Kendrick Bourne</v>
      </c>
      <c r="E208" t="str">
        <f t="shared" si="16"/>
        <v>WR@</v>
      </c>
      <c r="F208" t="str" cm="1">
        <f t="array" ref="F208">_xlfn.IFS(E208="DEF","DEF",TRUE,LEFT(E208,2))</f>
        <v>WR</v>
      </c>
      <c r="G208">
        <f>COUNTIFS(F$1:F208,F208)</f>
        <v>83</v>
      </c>
      <c r="H208" t="str">
        <f t="shared" si="17"/>
        <v>WR 83</v>
      </c>
      <c r="I208" t="str">
        <f t="shared" si="18"/>
        <v>5.6</v>
      </c>
    </row>
    <row r="209" spans="1:9" x14ac:dyDescent="0.25">
      <c r="A209" s="4" t="s">
        <v>629</v>
      </c>
      <c r="B209" t="s">
        <v>1037</v>
      </c>
      <c r="C209" t="str">
        <f t="shared" si="19"/>
        <v>Arizona Cardinals ARI - DEFKC Sun 4:25PM-453.525DEF 245.6</v>
      </c>
      <c r="D209" t="str">
        <f t="shared" si="15"/>
        <v>Arizona Cardinals </v>
      </c>
      <c r="E209" t="str">
        <f t="shared" si="16"/>
        <v>DEF</v>
      </c>
      <c r="F209" t="str" cm="1">
        <f t="array" ref="F209">_xlfn.IFS(E209="DEF","DEF",TRUE,LEFT(E209,2))</f>
        <v>DEF</v>
      </c>
      <c r="G209">
        <f>COUNTIFS(F$1:F209,F209)</f>
        <v>24</v>
      </c>
      <c r="H209" t="str">
        <f t="shared" si="17"/>
        <v>DEF 24</v>
      </c>
      <c r="I209" t="str">
        <f t="shared" si="18"/>
        <v>5.6</v>
      </c>
    </row>
    <row r="210" spans="1:9" x14ac:dyDescent="0.25">
      <c r="A210" s="4" t="s">
        <v>632</v>
      </c>
      <c r="B210" t="s">
        <v>1038</v>
      </c>
      <c r="C210" t="str">
        <f t="shared" si="19"/>
        <v>J.K. Dobbins BAL - RB@NYJ Sun 1:00PM--744.526RB 485.6</v>
      </c>
      <c r="D210" t="str">
        <f t="shared" si="15"/>
        <v>J.K. Dobbins </v>
      </c>
      <c r="E210" t="str">
        <f t="shared" si="16"/>
        <v>RB@</v>
      </c>
      <c r="F210" t="str" cm="1">
        <f t="array" ref="F210">_xlfn.IFS(E210="DEF","DEF",TRUE,LEFT(E210,2))</f>
        <v>RB</v>
      </c>
      <c r="G210">
        <f>COUNTIFS(F$1:F210,F210)</f>
        <v>48</v>
      </c>
      <c r="H210" t="str">
        <f t="shared" si="17"/>
        <v>RB 48</v>
      </c>
      <c r="I210" t="str">
        <f t="shared" si="18"/>
        <v>5.6</v>
      </c>
    </row>
    <row r="211" spans="1:9" x14ac:dyDescent="0.25">
      <c r="A211" s="4" t="s">
        <v>635</v>
      </c>
      <c r="B211" t="s">
        <v>1039</v>
      </c>
      <c r="C211" t="str">
        <f t="shared" si="19"/>
        <v>Khalil Herbert CHI - RBSF Sun 1:00PM-74117RB 495.6</v>
      </c>
      <c r="D211" t="str">
        <f t="shared" si="15"/>
        <v>Khalil Herbert </v>
      </c>
      <c r="E211" t="str">
        <f t="shared" si="16"/>
        <v>RBS</v>
      </c>
      <c r="F211" t="str" cm="1">
        <f t="array" ref="F211">_xlfn.IFS(E211="DEF","DEF",TRUE,LEFT(E211,2))</f>
        <v>RB</v>
      </c>
      <c r="G211">
        <f>COUNTIFS(F$1:F211,F211)</f>
        <v>49</v>
      </c>
      <c r="H211" t="str">
        <f t="shared" si="17"/>
        <v>RB 49</v>
      </c>
      <c r="I211" t="str">
        <f t="shared" si="18"/>
        <v>5.6</v>
      </c>
    </row>
    <row r="212" spans="1:9" x14ac:dyDescent="0.25">
      <c r="A212" s="4" t="s">
        <v>638</v>
      </c>
      <c r="B212" t="s">
        <v>1040</v>
      </c>
      <c r="C212" t="str">
        <f t="shared" si="19"/>
        <v>New York Giants NYG - DEF@TEN Sun 4:25PM-5.543.519DEF 255.6</v>
      </c>
      <c r="D212" t="str">
        <f t="shared" si="15"/>
        <v>New York Giants </v>
      </c>
      <c r="E212" t="str">
        <f t="shared" si="16"/>
        <v>DEF</v>
      </c>
      <c r="F212" t="str" cm="1">
        <f t="array" ref="F212">_xlfn.IFS(E212="DEF","DEF",TRUE,LEFT(E212,2))</f>
        <v>DEF</v>
      </c>
      <c r="G212">
        <f>COUNTIFS(F$1:F212,F212)</f>
        <v>25</v>
      </c>
      <c r="H212" t="str">
        <f t="shared" si="17"/>
        <v>DEF 25</v>
      </c>
      <c r="I212" t="str">
        <f t="shared" si="18"/>
        <v>5.6</v>
      </c>
    </row>
    <row r="213" spans="1:9" x14ac:dyDescent="0.25">
      <c r="A213" s="4" t="s">
        <v>641</v>
      </c>
      <c r="B213" t="s">
        <v>1041</v>
      </c>
      <c r="C213" t="str">
        <f t="shared" si="19"/>
        <v>Robert Tonyan GB - TE@MIN Sun 4:25PM--1.54825TE 235.5</v>
      </c>
      <c r="D213" t="str">
        <f t="shared" si="15"/>
        <v>Robert Tonyan</v>
      </c>
      <c r="E213" t="str">
        <f t="shared" si="16"/>
        <v>TE@</v>
      </c>
      <c r="F213" t="str" cm="1">
        <f t="array" ref="F213">_xlfn.IFS(E213="DEF","DEF",TRUE,LEFT(E213,2))</f>
        <v>TE</v>
      </c>
      <c r="G213">
        <f>COUNTIFS(F$1:F213,F213)</f>
        <v>23</v>
      </c>
      <c r="H213" t="str">
        <f t="shared" si="17"/>
        <v>TE 23</v>
      </c>
      <c r="I213" t="str">
        <f t="shared" si="18"/>
        <v>5.5</v>
      </c>
    </row>
    <row r="214" spans="1:9" x14ac:dyDescent="0.25">
      <c r="A214" s="4" t="s">
        <v>644</v>
      </c>
      <c r="B214" t="s">
        <v>1042</v>
      </c>
      <c r="C214" t="str">
        <f t="shared" si="19"/>
        <v>Minnesota Vikings MIN - DEFGB Sun 4:25PM-1.54823.5DEF 265.5</v>
      </c>
      <c r="D214" t="str">
        <f t="shared" si="15"/>
        <v>Minnesota Vikings </v>
      </c>
      <c r="E214" t="str">
        <f t="shared" si="16"/>
        <v>DEF</v>
      </c>
      <c r="F214" t="str" cm="1">
        <f t="array" ref="F214">_xlfn.IFS(E214="DEF","DEF",TRUE,LEFT(E214,2))</f>
        <v>DEF</v>
      </c>
      <c r="G214">
        <f>COUNTIFS(F$1:F214,F214)</f>
        <v>26</v>
      </c>
      <c r="H214" t="str">
        <f t="shared" si="17"/>
        <v>DEF 26</v>
      </c>
      <c r="I214" t="str">
        <f t="shared" si="18"/>
        <v>5.5</v>
      </c>
    </row>
    <row r="215" spans="1:9" x14ac:dyDescent="0.25">
      <c r="A215" s="4" t="s">
        <v>647</v>
      </c>
      <c r="B215" t="s">
        <v>1043</v>
      </c>
      <c r="C215" t="str">
        <f t="shared" si="19"/>
        <v>Seattle Seahawks SEA - DEFDEN Mon 8:15PM-6.54318.5DEF 275.5</v>
      </c>
      <c r="D215" t="str">
        <f t="shared" si="15"/>
        <v>Seattle Seahawks </v>
      </c>
      <c r="E215" t="str">
        <f t="shared" si="16"/>
        <v>DEF</v>
      </c>
      <c r="F215" t="str" cm="1">
        <f t="array" ref="F215">_xlfn.IFS(E215="DEF","DEF",TRUE,LEFT(E215,2))</f>
        <v>DEF</v>
      </c>
      <c r="G215">
        <f>COUNTIFS(F$1:F215,F215)</f>
        <v>27</v>
      </c>
      <c r="H215" t="str">
        <f t="shared" si="17"/>
        <v>DEF 27</v>
      </c>
      <c r="I215" t="str">
        <f t="shared" si="18"/>
        <v>5.5</v>
      </c>
    </row>
    <row r="216" spans="1:9" x14ac:dyDescent="0.25">
      <c r="A216" s="4" t="s">
        <v>650</v>
      </c>
      <c r="B216" t="s">
        <v>1044</v>
      </c>
      <c r="C216" t="str">
        <f t="shared" si="19"/>
        <v>New York Jets NYJ - DEFBAL Sun 1:00PM-744.519DEF 285.5</v>
      </c>
      <c r="D216" t="str">
        <f t="shared" si="15"/>
        <v>New York Jets </v>
      </c>
      <c r="E216" t="str">
        <f t="shared" si="16"/>
        <v>DEF</v>
      </c>
      <c r="F216" t="str" cm="1">
        <f t="array" ref="F216">_xlfn.IFS(E216="DEF","DEF",TRUE,LEFT(E216,2))</f>
        <v>DEF</v>
      </c>
      <c r="G216">
        <f>COUNTIFS(F$1:F216,F216)</f>
        <v>28</v>
      </c>
      <c r="H216" t="str">
        <f t="shared" si="17"/>
        <v>DEF 28</v>
      </c>
      <c r="I216" t="str">
        <f t="shared" si="18"/>
        <v>5.5</v>
      </c>
    </row>
    <row r="217" spans="1:9" x14ac:dyDescent="0.25">
      <c r="A217" s="4" t="s">
        <v>653</v>
      </c>
      <c r="B217" t="s">
        <v>1045</v>
      </c>
      <c r="C217" t="str">
        <f t="shared" si="19"/>
        <v>Atlanta Falcons ATL - DEFNO Sun 1:00PM-5.542.518.5DEF 295.5</v>
      </c>
      <c r="D217" t="str">
        <f t="shared" si="15"/>
        <v>Atlanta Falcons </v>
      </c>
      <c r="E217" t="str">
        <f t="shared" si="16"/>
        <v>DEF</v>
      </c>
      <c r="F217" t="str" cm="1">
        <f t="array" ref="F217">_xlfn.IFS(E217="DEF","DEF",TRUE,LEFT(E217,2))</f>
        <v>DEF</v>
      </c>
      <c r="G217">
        <f>COUNTIFS(F$1:F217,F217)</f>
        <v>29</v>
      </c>
      <c r="H217" t="str">
        <f t="shared" si="17"/>
        <v>DEF 29</v>
      </c>
      <c r="I217" t="str">
        <f t="shared" si="18"/>
        <v>5.5</v>
      </c>
    </row>
    <row r="218" spans="1:9" x14ac:dyDescent="0.25">
      <c r="A218" s="4" t="s">
        <v>656</v>
      </c>
      <c r="B218" t="s">
        <v>1046</v>
      </c>
      <c r="C218" t="str">
        <f t="shared" si="19"/>
        <v>Las Vegas Raiders LV - DEF@LAC Sun 4:25PM-3.552.524.5DEF 305.4</v>
      </c>
      <c r="D218" t="str">
        <f t="shared" si="15"/>
        <v>Las Vegas Raiders</v>
      </c>
      <c r="E218" t="str">
        <f t="shared" si="16"/>
        <v>DEF</v>
      </c>
      <c r="F218" t="str" cm="1">
        <f t="array" ref="F218">_xlfn.IFS(E218="DEF","DEF",TRUE,LEFT(E218,2))</f>
        <v>DEF</v>
      </c>
      <c r="G218">
        <f>COUNTIFS(F$1:F218,F218)</f>
        <v>30</v>
      </c>
      <c r="H218" t="str">
        <f t="shared" si="17"/>
        <v>DEF 30</v>
      </c>
      <c r="I218" t="str">
        <f t="shared" si="18"/>
        <v>5.4</v>
      </c>
    </row>
    <row r="219" spans="1:9" x14ac:dyDescent="0.25">
      <c r="A219" s="4" t="s">
        <v>659</v>
      </c>
      <c r="B219" t="s">
        <v>1047</v>
      </c>
      <c r="C219" t="str">
        <f t="shared" si="19"/>
        <v>Detroit Lions DET - DEFPHI Sun 1:00PM-448.522.5DEF 315.4</v>
      </c>
      <c r="D219" t="str">
        <f t="shared" si="15"/>
        <v>Detroit Lions </v>
      </c>
      <c r="E219" t="str">
        <f t="shared" si="16"/>
        <v>DEF</v>
      </c>
      <c r="F219" t="str" cm="1">
        <f t="array" ref="F219">_xlfn.IFS(E219="DEF","DEF",TRUE,LEFT(E219,2))</f>
        <v>DEF</v>
      </c>
      <c r="G219">
        <f>COUNTIFS(F$1:F219,F219)</f>
        <v>31</v>
      </c>
      <c r="H219" t="str">
        <f t="shared" si="17"/>
        <v>DEF 31</v>
      </c>
      <c r="I219" t="str">
        <f t="shared" si="18"/>
        <v>5.4</v>
      </c>
    </row>
    <row r="220" spans="1:9" x14ac:dyDescent="0.25">
      <c r="A220" s="4" t="s">
        <v>662</v>
      </c>
      <c r="B220" t="s">
        <v>1048</v>
      </c>
      <c r="C220" t="str">
        <f t="shared" si="19"/>
        <v>Randall Cobb GB - WR@MIN Sun 4:25PM--1.54825WR 845.3</v>
      </c>
      <c r="D220" t="str">
        <f t="shared" si="15"/>
        <v>Randall Cobb</v>
      </c>
      <c r="E220" t="str">
        <f t="shared" si="16"/>
        <v>WR@</v>
      </c>
      <c r="F220" t="str" cm="1">
        <f t="array" ref="F220">_xlfn.IFS(E220="DEF","DEF",TRUE,LEFT(E220,2))</f>
        <v>WR</v>
      </c>
      <c r="G220">
        <f>COUNTIFS(F$1:F220,F220)</f>
        <v>84</v>
      </c>
      <c r="H220" t="str">
        <f t="shared" si="17"/>
        <v>WR 84</v>
      </c>
      <c r="I220" t="str">
        <f t="shared" si="18"/>
        <v>5.3</v>
      </c>
    </row>
    <row r="221" spans="1:9" x14ac:dyDescent="0.25">
      <c r="A221" s="4" t="s">
        <v>665</v>
      </c>
      <c r="B221" t="s">
        <v>1049</v>
      </c>
      <c r="C221" t="str">
        <f t="shared" si="19"/>
        <v>Hayden Hurst CIN - TEPIT Sun 1:00PM--6.544.525.5TE 245.3</v>
      </c>
      <c r="D221" t="str">
        <f t="shared" si="15"/>
        <v>Hayden Hurst </v>
      </c>
      <c r="E221" t="str">
        <f t="shared" si="16"/>
        <v>TEP</v>
      </c>
      <c r="F221" t="str" cm="1">
        <f t="array" ref="F221">_xlfn.IFS(E221="DEF","DEF",TRUE,LEFT(E221,2))</f>
        <v>TE</v>
      </c>
      <c r="G221">
        <f>COUNTIFS(F$1:F221,F221)</f>
        <v>24</v>
      </c>
      <c r="H221" t="str">
        <f t="shared" si="17"/>
        <v>TE 24</v>
      </c>
      <c r="I221" t="str">
        <f t="shared" si="18"/>
        <v>5.3</v>
      </c>
    </row>
    <row r="222" spans="1:9" x14ac:dyDescent="0.25">
      <c r="A222" s="4" t="s">
        <v>668</v>
      </c>
      <c r="B222" t="s">
        <v>1050</v>
      </c>
      <c r="C222" t="str">
        <f t="shared" si="19"/>
        <v>Mo Alie-Cox IND - TE@HOU Sun 1:00PM--84627TE 255.3</v>
      </c>
      <c r="D222" t="str">
        <f t="shared" si="15"/>
        <v>Mo Alie-Cox </v>
      </c>
      <c r="E222" t="str">
        <f t="shared" si="16"/>
        <v>TE@</v>
      </c>
      <c r="F222" t="str" cm="1">
        <f t="array" ref="F222">_xlfn.IFS(E222="DEF","DEF",TRUE,LEFT(E222,2))</f>
        <v>TE</v>
      </c>
      <c r="G222">
        <f>COUNTIFS(F$1:F222,F222)</f>
        <v>25</v>
      </c>
      <c r="H222" t="str">
        <f t="shared" si="17"/>
        <v>TE 25</v>
      </c>
      <c r="I222" t="str">
        <f t="shared" si="18"/>
        <v>5.3</v>
      </c>
    </row>
    <row r="223" spans="1:9" x14ac:dyDescent="0.25">
      <c r="A223" s="4" t="s">
        <v>671</v>
      </c>
      <c r="B223" t="s">
        <v>1051</v>
      </c>
      <c r="C223" t="str">
        <f t="shared" si="19"/>
        <v>Rachaad White TB - RB@DAL Sun 8:20PM--1.55026RB 505.3</v>
      </c>
      <c r="D223" t="str">
        <f t="shared" si="15"/>
        <v>Rachaad White</v>
      </c>
      <c r="E223" t="str">
        <f t="shared" si="16"/>
        <v>RB@</v>
      </c>
      <c r="F223" t="str" cm="1">
        <f t="array" ref="F223">_xlfn.IFS(E223="DEF","DEF",TRUE,LEFT(E223,2))</f>
        <v>RB</v>
      </c>
      <c r="G223">
        <f>COUNTIFS(F$1:F223,F223)</f>
        <v>50</v>
      </c>
      <c r="H223" t="str">
        <f t="shared" si="17"/>
        <v>RB 50</v>
      </c>
      <c r="I223" t="str">
        <f t="shared" si="18"/>
        <v>5.3</v>
      </c>
    </row>
    <row r="224" spans="1:9" x14ac:dyDescent="0.25">
      <c r="A224" s="4" t="s">
        <v>674</v>
      </c>
      <c r="B224" t="s">
        <v>1052</v>
      </c>
      <c r="C224" t="str">
        <f t="shared" si="19"/>
        <v>Cedrick Wilson Jr. MIA - WRNE Sun 1:00PM--346.525WR 855.2</v>
      </c>
      <c r="D224" t="str">
        <f t="shared" si="15"/>
        <v>Cedrick Wilson Jr. </v>
      </c>
      <c r="E224" t="str">
        <f t="shared" si="16"/>
        <v>WRN</v>
      </c>
      <c r="F224" t="str" cm="1">
        <f t="array" ref="F224">_xlfn.IFS(E224="DEF","DEF",TRUE,LEFT(E224,2))</f>
        <v>WR</v>
      </c>
      <c r="G224">
        <f>COUNTIFS(F$1:F224,F224)</f>
        <v>85</v>
      </c>
      <c r="H224" t="str">
        <f t="shared" si="17"/>
        <v>WR 85</v>
      </c>
      <c r="I224" t="str">
        <f t="shared" si="18"/>
        <v>5.2</v>
      </c>
    </row>
    <row r="225" spans="1:9" x14ac:dyDescent="0.25">
      <c r="A225" s="4" t="s">
        <v>677</v>
      </c>
      <c r="B225" t="s">
        <v>1053</v>
      </c>
      <c r="C225" t="str">
        <f t="shared" si="19"/>
        <v>David Bell CLE - WR@CAR Sun 1:00PM-2.541.519.5WR 865.2</v>
      </c>
      <c r="D225" t="str">
        <f t="shared" si="15"/>
        <v>David Bell </v>
      </c>
      <c r="E225" t="str">
        <f t="shared" si="16"/>
        <v>WR@</v>
      </c>
      <c r="F225" t="str" cm="1">
        <f t="array" ref="F225">_xlfn.IFS(E225="DEF","DEF",TRUE,LEFT(E225,2))</f>
        <v>WR</v>
      </c>
      <c r="G225">
        <f>COUNTIFS(F$1:F225,F225)</f>
        <v>86</v>
      </c>
      <c r="H225" t="str">
        <f t="shared" si="17"/>
        <v>WR 86</v>
      </c>
      <c r="I225" t="str">
        <f t="shared" si="18"/>
        <v>5.2</v>
      </c>
    </row>
    <row r="226" spans="1:9" x14ac:dyDescent="0.25">
      <c r="A226" s="4" t="s">
        <v>680</v>
      </c>
      <c r="B226" t="s">
        <v>1054</v>
      </c>
      <c r="C226" t="str">
        <f t="shared" si="19"/>
        <v>Tyler Allgeier ATL - RBNO Sun 1:00PM-5.542.518.5RB 515.2</v>
      </c>
      <c r="D226" t="str">
        <f t="shared" si="15"/>
        <v>Tyler Allgeier </v>
      </c>
      <c r="E226" t="str">
        <f t="shared" si="16"/>
        <v>RBN</v>
      </c>
      <c r="F226" t="str" cm="1">
        <f t="array" ref="F226">_xlfn.IFS(E226="DEF","DEF",TRUE,LEFT(E226,2))</f>
        <v>RB</v>
      </c>
      <c r="G226">
        <f>COUNTIFS(F$1:F226,F226)</f>
        <v>51</v>
      </c>
      <c r="H226" t="str">
        <f t="shared" si="17"/>
        <v>RB 51</v>
      </c>
      <c r="I226" t="str">
        <f t="shared" si="18"/>
        <v>5.2</v>
      </c>
    </row>
    <row r="227" spans="1:9" x14ac:dyDescent="0.25">
      <c r="A227" s="4" t="s">
        <v>683</v>
      </c>
      <c r="B227" t="s">
        <v>1055</v>
      </c>
      <c r="C227" t="str">
        <f t="shared" si="19"/>
        <v>Brevin Jordan HOU - TEIND Sun 1:00PM-84619TE 265.1</v>
      </c>
      <c r="D227" t="str">
        <f t="shared" si="15"/>
        <v>Brevin Jordan </v>
      </c>
      <c r="E227" t="str">
        <f t="shared" si="16"/>
        <v>TEI</v>
      </c>
      <c r="F227" t="str" cm="1">
        <f t="array" ref="F227">_xlfn.IFS(E227="DEF","DEF",TRUE,LEFT(E227,2))</f>
        <v>TE</v>
      </c>
      <c r="G227">
        <f>COUNTIFS(F$1:F227,F227)</f>
        <v>26</v>
      </c>
      <c r="H227" t="str">
        <f t="shared" si="17"/>
        <v>TE 26</v>
      </c>
      <c r="I227" t="str">
        <f t="shared" si="18"/>
        <v>5.1</v>
      </c>
    </row>
    <row r="228" spans="1:9" x14ac:dyDescent="0.25">
      <c r="A228" s="4" t="s">
        <v>686</v>
      </c>
      <c r="B228" t="s">
        <v>1056</v>
      </c>
      <c r="C228" t="str">
        <f t="shared" si="19"/>
        <v>Houston Texans HOU - DEFIND Sun 1:00PM-84619DEF 325.1</v>
      </c>
      <c r="D228" t="str">
        <f t="shared" si="15"/>
        <v>Houston Texans </v>
      </c>
      <c r="E228" t="str">
        <f t="shared" si="16"/>
        <v>DEF</v>
      </c>
      <c r="F228" t="str" cm="1">
        <f t="array" ref="F228">_xlfn.IFS(E228="DEF","DEF",TRUE,LEFT(E228,2))</f>
        <v>DEF</v>
      </c>
      <c r="G228">
        <f>COUNTIFS(F$1:F228,F228)</f>
        <v>32</v>
      </c>
      <c r="H228" t="str">
        <f t="shared" si="17"/>
        <v>DEF 32</v>
      </c>
      <c r="I228" t="str">
        <f t="shared" si="18"/>
        <v>5.1</v>
      </c>
    </row>
    <row r="229" spans="1:9" x14ac:dyDescent="0.25">
      <c r="A229" s="4" t="s">
        <v>689</v>
      </c>
      <c r="B229" t="s">
        <v>1057</v>
      </c>
      <c r="C229" t="str">
        <f t="shared" si="19"/>
        <v>Devin Duvernay BAL - WR@NYJ Sun 1:00PM--744.526WR 875.1</v>
      </c>
      <c r="D229" t="str">
        <f t="shared" si="15"/>
        <v>Devin Duvernay </v>
      </c>
      <c r="E229" t="str">
        <f t="shared" si="16"/>
        <v>WR@</v>
      </c>
      <c r="F229" t="str" cm="1">
        <f t="array" ref="F229">_xlfn.IFS(E229="DEF","DEF",TRUE,LEFT(E229,2))</f>
        <v>WR</v>
      </c>
      <c r="G229">
        <f>COUNTIFS(F$1:F229,F229)</f>
        <v>87</v>
      </c>
      <c r="H229" t="str">
        <f t="shared" si="17"/>
        <v>WR 87</v>
      </c>
      <c r="I229" t="str">
        <f t="shared" si="18"/>
        <v>5.1</v>
      </c>
    </row>
    <row r="230" spans="1:9" x14ac:dyDescent="0.25">
      <c r="A230" s="4" t="s">
        <v>692</v>
      </c>
      <c r="B230" t="s">
        <v>1058</v>
      </c>
      <c r="C230" t="str">
        <f t="shared" si="19"/>
        <v>Kenyan Drake BAL - RB@NYJ Sun 1:00PM--744.526RB 524.9</v>
      </c>
      <c r="D230" t="str">
        <f t="shared" si="15"/>
        <v>Kenyan Drake </v>
      </c>
      <c r="E230" t="str">
        <f t="shared" si="16"/>
        <v>RB@</v>
      </c>
      <c r="F230" t="str" cm="1">
        <f t="array" ref="F230">_xlfn.IFS(E230="DEF","DEF",TRUE,LEFT(E230,2))</f>
        <v>RB</v>
      </c>
      <c r="G230">
        <f>COUNTIFS(F$1:F230,F230)</f>
        <v>52</v>
      </c>
      <c r="H230" t="str">
        <f t="shared" si="17"/>
        <v>RB 52</v>
      </c>
      <c r="I230" t="str">
        <f t="shared" si="18"/>
        <v>4.9</v>
      </c>
    </row>
    <row r="231" spans="1:9" x14ac:dyDescent="0.25">
      <c r="A231" s="4" t="s">
        <v>695</v>
      </c>
      <c r="B231" t="s">
        <v>1059</v>
      </c>
      <c r="C231" t="str">
        <f t="shared" si="19"/>
        <v>Nick Westbrook-Ikhine TEN - WRNYG Sun 4:25PM--5.543.524.5WR 884.8</v>
      </c>
      <c r="D231" t="str">
        <f t="shared" si="15"/>
        <v>Nick Westbrook-Ikhine </v>
      </c>
      <c r="E231" t="str">
        <f t="shared" si="16"/>
        <v>WRN</v>
      </c>
      <c r="F231" t="str" cm="1">
        <f t="array" ref="F231">_xlfn.IFS(E231="DEF","DEF",TRUE,LEFT(E231,2))</f>
        <v>WR</v>
      </c>
      <c r="G231">
        <f>COUNTIFS(F$1:F231,F231)</f>
        <v>88</v>
      </c>
      <c r="H231" t="str">
        <f t="shared" si="17"/>
        <v>WR 88</v>
      </c>
      <c r="I231" t="str">
        <f t="shared" si="18"/>
        <v>4.8</v>
      </c>
    </row>
    <row r="232" spans="1:9" x14ac:dyDescent="0.25">
      <c r="A232" s="4" t="s">
        <v>698</v>
      </c>
      <c r="B232" t="s">
        <v>1060</v>
      </c>
      <c r="C232" t="str">
        <f t="shared" si="19"/>
        <v>Braxton Berrios NYJ - WRBAL Sun 1:00PM-744.519WR 894.8</v>
      </c>
      <c r="D232" t="str">
        <f t="shared" si="15"/>
        <v>Braxton Berrios </v>
      </c>
      <c r="E232" t="str">
        <f t="shared" si="16"/>
        <v>WRB</v>
      </c>
      <c r="F232" t="str" cm="1">
        <f t="array" ref="F232">_xlfn.IFS(E232="DEF","DEF",TRUE,LEFT(E232,2))</f>
        <v>WR</v>
      </c>
      <c r="G232">
        <f>COUNTIFS(F$1:F232,F232)</f>
        <v>89</v>
      </c>
      <c r="H232" t="str">
        <f t="shared" si="17"/>
        <v>WR 89</v>
      </c>
      <c r="I232" t="str">
        <f t="shared" si="18"/>
        <v>4.8</v>
      </c>
    </row>
    <row r="233" spans="1:9" x14ac:dyDescent="0.25">
      <c r="A233" s="4" t="s">
        <v>701</v>
      </c>
      <c r="B233" t="s">
        <v>1061</v>
      </c>
      <c r="C233" t="str">
        <f t="shared" si="19"/>
        <v>Laviska Shenault Jr. CAR - WRCLE Sun 1:00PM--2.541.522WR 904.8</v>
      </c>
      <c r="D233" t="str">
        <f t="shared" si="15"/>
        <v>Laviska Shenault Jr. </v>
      </c>
      <c r="E233" t="str">
        <f t="shared" si="16"/>
        <v>WRC</v>
      </c>
      <c r="F233" t="str" cm="1">
        <f t="array" ref="F233">_xlfn.IFS(E233="DEF","DEF",TRUE,LEFT(E233,2))</f>
        <v>WR</v>
      </c>
      <c r="G233">
        <f>COUNTIFS(F$1:F233,F233)</f>
        <v>90</v>
      </c>
      <c r="H233" t="str">
        <f t="shared" si="17"/>
        <v>WR 90</v>
      </c>
      <c r="I233" t="str">
        <f t="shared" si="18"/>
        <v>4.8</v>
      </c>
    </row>
    <row r="234" spans="1:9" x14ac:dyDescent="0.25">
      <c r="A234" s="4" t="s">
        <v>704</v>
      </c>
      <c r="B234" t="s">
        <v>1062</v>
      </c>
      <c r="C234" t="str">
        <f t="shared" si="19"/>
        <v>Cameron Brate TB - TE@DAL Sun 8:20PM--1.55026TE 274.7</v>
      </c>
      <c r="D234" t="str">
        <f t="shared" si="15"/>
        <v>Cameron Brate</v>
      </c>
      <c r="E234" t="str">
        <f t="shared" si="16"/>
        <v>TE@</v>
      </c>
      <c r="F234" t="str" cm="1">
        <f t="array" ref="F234">_xlfn.IFS(E234="DEF","DEF",TRUE,LEFT(E234,2))</f>
        <v>TE</v>
      </c>
      <c r="G234">
        <f>COUNTIFS(F$1:F234,F234)</f>
        <v>27</v>
      </c>
      <c r="H234" t="str">
        <f t="shared" si="17"/>
        <v>TE 27</v>
      </c>
      <c r="I234" t="str">
        <f t="shared" si="18"/>
        <v>4.7</v>
      </c>
    </row>
    <row r="235" spans="1:9" x14ac:dyDescent="0.25">
      <c r="A235" s="4" t="s">
        <v>707</v>
      </c>
      <c r="B235" t="s">
        <v>1063</v>
      </c>
      <c r="C235" t="str">
        <f t="shared" si="19"/>
        <v>Sterling Shepard NYG - WR@TEN Sun 4:25PM-5.543.519WR 914.7</v>
      </c>
      <c r="D235" t="str">
        <f t="shared" si="15"/>
        <v>Sterling Shepard </v>
      </c>
      <c r="E235" t="str">
        <f t="shared" si="16"/>
        <v>WR@</v>
      </c>
      <c r="F235" t="str" cm="1">
        <f t="array" ref="F235">_xlfn.IFS(E235="DEF","DEF",TRUE,LEFT(E235,2))</f>
        <v>WR</v>
      </c>
      <c r="G235">
        <f>COUNTIFS(F$1:F235,F235)</f>
        <v>91</v>
      </c>
      <c r="H235" t="str">
        <f t="shared" si="17"/>
        <v>WR 91</v>
      </c>
      <c r="I235" t="str">
        <f t="shared" si="18"/>
        <v>4.7</v>
      </c>
    </row>
    <row r="236" spans="1:9" x14ac:dyDescent="0.25">
      <c r="A236" s="4" t="s">
        <v>710</v>
      </c>
      <c r="B236" t="s">
        <v>1064</v>
      </c>
      <c r="C236" t="str">
        <f t="shared" si="19"/>
        <v>Byron Pringle CHI - WRSF Sun 1:00PM-74117WR 924.6</v>
      </c>
      <c r="D236" t="str">
        <f t="shared" si="15"/>
        <v>Byron Pringle </v>
      </c>
      <c r="E236" t="str">
        <f t="shared" si="16"/>
        <v>WRS</v>
      </c>
      <c r="F236" t="str" cm="1">
        <f t="array" ref="F236">_xlfn.IFS(E236="DEF","DEF",TRUE,LEFT(E236,2))</f>
        <v>WR</v>
      </c>
      <c r="G236">
        <f>COUNTIFS(F$1:F236,F236)</f>
        <v>92</v>
      </c>
      <c r="H236" t="str">
        <f t="shared" si="17"/>
        <v>WR 92</v>
      </c>
      <c r="I236" t="str">
        <f t="shared" si="18"/>
        <v>4.6</v>
      </c>
    </row>
    <row r="237" spans="1:9" x14ac:dyDescent="0.25">
      <c r="A237" s="4" t="s">
        <v>713</v>
      </c>
      <c r="B237" t="s">
        <v>1065</v>
      </c>
      <c r="C237" t="str">
        <f t="shared" si="19"/>
        <v>Logan Thomas WAS - TEJAC Sun 1:00PM--343.523.5TE 284.6</v>
      </c>
      <c r="D237" t="str">
        <f t="shared" si="15"/>
        <v>Logan Thomas </v>
      </c>
      <c r="E237" t="str">
        <f t="shared" si="16"/>
        <v>TEJ</v>
      </c>
      <c r="F237" t="str" cm="1">
        <f t="array" ref="F237">_xlfn.IFS(E237="DEF","DEF",TRUE,LEFT(E237,2))</f>
        <v>TE</v>
      </c>
      <c r="G237">
        <f>COUNTIFS(F$1:F237,F237)</f>
        <v>28</v>
      </c>
      <c r="H237" t="str">
        <f t="shared" si="17"/>
        <v>TE 28</v>
      </c>
      <c r="I237" t="str">
        <f t="shared" si="18"/>
        <v>4.6</v>
      </c>
    </row>
    <row r="238" spans="1:9" x14ac:dyDescent="0.25">
      <c r="A238" s="4" t="s">
        <v>716</v>
      </c>
      <c r="B238" t="s">
        <v>1066</v>
      </c>
      <c r="C238" t="str">
        <f t="shared" si="19"/>
        <v>Damien Williams ATL - RBNO Sun 1:00PM-5.542.518.5RB 534.5</v>
      </c>
      <c r="D238" t="str">
        <f t="shared" si="15"/>
        <v>Damien Williams </v>
      </c>
      <c r="E238" t="str">
        <f t="shared" si="16"/>
        <v>RBN</v>
      </c>
      <c r="F238" t="str" cm="1">
        <f t="array" ref="F238">_xlfn.IFS(E238="DEF","DEF",TRUE,LEFT(E238,2))</f>
        <v>RB</v>
      </c>
      <c r="G238">
        <f>COUNTIFS(F$1:F238,F238)</f>
        <v>53</v>
      </c>
      <c r="H238" t="str">
        <f t="shared" si="17"/>
        <v>RB 53</v>
      </c>
      <c r="I238" t="str">
        <f t="shared" si="18"/>
        <v>4.5</v>
      </c>
    </row>
    <row r="239" spans="1:9" x14ac:dyDescent="0.25">
      <c r="A239" s="4" t="s">
        <v>719</v>
      </c>
      <c r="B239" t="s">
        <v>1067</v>
      </c>
      <c r="C239" t="str">
        <f t="shared" si="19"/>
        <v>C.J. Uzomah NYJ - TEBAL Sun 1:00PM-744.519TE 294.5</v>
      </c>
      <c r="D239" t="str">
        <f t="shared" si="15"/>
        <v>C.J. Uzomah </v>
      </c>
      <c r="E239" t="str">
        <f t="shared" si="16"/>
        <v>TEB</v>
      </c>
      <c r="F239" t="str" cm="1">
        <f t="array" ref="F239">_xlfn.IFS(E239="DEF","DEF",TRUE,LEFT(E239,2))</f>
        <v>TE</v>
      </c>
      <c r="G239">
        <f>COUNTIFS(F$1:F239,F239)</f>
        <v>29</v>
      </c>
      <c r="H239" t="str">
        <f t="shared" si="17"/>
        <v>TE 29</v>
      </c>
      <c r="I239" t="str">
        <f t="shared" si="18"/>
        <v>4.5</v>
      </c>
    </row>
    <row r="240" spans="1:9" x14ac:dyDescent="0.25">
      <c r="A240" s="4" t="s">
        <v>722</v>
      </c>
      <c r="B240" t="s">
        <v>1068</v>
      </c>
      <c r="C240" t="str">
        <f t="shared" si="19"/>
        <v>Bryan Edwards ATL - WRNO Sun 1:00PM-5.542.518.5WR 934.4</v>
      </c>
      <c r="D240" t="str">
        <f t="shared" si="15"/>
        <v>Bryan Edwards </v>
      </c>
      <c r="E240" t="str">
        <f t="shared" si="16"/>
        <v>WRN</v>
      </c>
      <c r="F240" t="str" cm="1">
        <f t="array" ref="F240">_xlfn.IFS(E240="DEF","DEF",TRUE,LEFT(E240,2))</f>
        <v>WR</v>
      </c>
      <c r="G240">
        <f>COUNTIFS(F$1:F240,F240)</f>
        <v>93</v>
      </c>
      <c r="H240" t="str">
        <f t="shared" si="17"/>
        <v>WR 93</v>
      </c>
      <c r="I240" t="str">
        <f t="shared" si="18"/>
        <v>4.4</v>
      </c>
    </row>
    <row r="241" spans="1:9" x14ac:dyDescent="0.25">
      <c r="A241" s="4" t="s">
        <v>725</v>
      </c>
      <c r="B241" t="s">
        <v>1069</v>
      </c>
      <c r="C241" t="str">
        <f t="shared" si="19"/>
        <v>Nelson Agholor NE - WR@MIA Sun 1:00PM-346.522WR 944.4</v>
      </c>
      <c r="D241" t="str">
        <f t="shared" si="15"/>
        <v>Nelson Agholor</v>
      </c>
      <c r="E241" t="str">
        <f t="shared" si="16"/>
        <v>WR@</v>
      </c>
      <c r="F241" t="str" cm="1">
        <f t="array" ref="F241">_xlfn.IFS(E241="DEF","DEF",TRUE,LEFT(E241,2))</f>
        <v>WR</v>
      </c>
      <c r="G241">
        <f>COUNTIFS(F$1:F241,F241)</f>
        <v>94</v>
      </c>
      <c r="H241" t="str">
        <f t="shared" si="17"/>
        <v>WR 94</v>
      </c>
      <c r="I241" t="str">
        <f t="shared" si="18"/>
        <v>4.4</v>
      </c>
    </row>
    <row r="242" spans="1:9" x14ac:dyDescent="0.25">
      <c r="A242" s="4" t="s">
        <v>728</v>
      </c>
      <c r="B242" t="s">
        <v>1070</v>
      </c>
      <c r="C242" t="str">
        <f t="shared" si="19"/>
        <v>Mike Davis BAL - RB@NYJ Sun 1:00PM--744.526RB 544.3</v>
      </c>
      <c r="D242" t="str">
        <f t="shared" si="15"/>
        <v>Mike Davis </v>
      </c>
      <c r="E242" t="str">
        <f t="shared" si="16"/>
        <v>RB@</v>
      </c>
      <c r="F242" t="str" cm="1">
        <f t="array" ref="F242">_xlfn.IFS(E242="DEF","DEF",TRUE,LEFT(E242,2))</f>
        <v>RB</v>
      </c>
      <c r="G242">
        <f>COUNTIFS(F$1:F242,F242)</f>
        <v>54</v>
      </c>
      <c r="H242" t="str">
        <f t="shared" si="17"/>
        <v>RB 54</v>
      </c>
      <c r="I242" t="str">
        <f t="shared" si="18"/>
        <v>4.3</v>
      </c>
    </row>
    <row r="243" spans="1:9" x14ac:dyDescent="0.25">
      <c r="A243" s="4" t="s">
        <v>731</v>
      </c>
      <c r="B243" t="s">
        <v>1071</v>
      </c>
      <c r="C243" t="str">
        <f t="shared" si="19"/>
        <v>Terrace Marshall Jr. CAR - WRCLE Sun 1:00PM--2.541.522WR 954.3</v>
      </c>
      <c r="D243" t="str">
        <f t="shared" si="15"/>
        <v>Terrace Marshall Jr. </v>
      </c>
      <c r="E243" t="str">
        <f t="shared" si="16"/>
        <v>WRC</v>
      </c>
      <c r="F243" t="str" cm="1">
        <f t="array" ref="F243">_xlfn.IFS(E243="DEF","DEF",TRUE,LEFT(E243,2))</f>
        <v>WR</v>
      </c>
      <c r="G243">
        <f>COUNTIFS(F$1:F243,F243)</f>
        <v>95</v>
      </c>
      <c r="H243" t="str">
        <f t="shared" si="17"/>
        <v>WR 95</v>
      </c>
      <c r="I243" t="str">
        <f t="shared" si="18"/>
        <v>4.3</v>
      </c>
    </row>
    <row r="244" spans="1:9" x14ac:dyDescent="0.25">
      <c r="A244" s="4" t="s">
        <v>734</v>
      </c>
      <c r="B244" t="s">
        <v>1072</v>
      </c>
      <c r="C244" t="str">
        <f t="shared" si="19"/>
        <v>Marquez Callaway NO - WR@ATL Sun 1:00PM--5.542.524WR 964.3</v>
      </c>
      <c r="D244" t="str">
        <f t="shared" si="15"/>
        <v>Marquez Callaway</v>
      </c>
      <c r="E244" t="str">
        <f t="shared" si="16"/>
        <v>WR@</v>
      </c>
      <c r="F244" t="str" cm="1">
        <f t="array" ref="F244">_xlfn.IFS(E244="DEF","DEF",TRUE,LEFT(E244,2))</f>
        <v>WR</v>
      </c>
      <c r="G244">
        <f>COUNTIFS(F$1:F244,F244)</f>
        <v>96</v>
      </c>
      <c r="H244" t="str">
        <f t="shared" si="17"/>
        <v>WR 96</v>
      </c>
      <c r="I244" t="str">
        <f t="shared" si="18"/>
        <v>4.3</v>
      </c>
    </row>
    <row r="245" spans="1:9" x14ac:dyDescent="0.25">
      <c r="A245" s="4" t="s">
        <v>737</v>
      </c>
      <c r="B245" t="s">
        <v>1073</v>
      </c>
      <c r="C245" t="str">
        <f t="shared" si="19"/>
        <v>Zamir White LV - RB@LAC Sun 4:25PM-3.552.524.5RB 554.2</v>
      </c>
      <c r="D245" t="str">
        <f t="shared" si="15"/>
        <v>Zamir White</v>
      </c>
      <c r="E245" t="str">
        <f t="shared" si="16"/>
        <v>RB@</v>
      </c>
      <c r="F245" t="str" cm="1">
        <f t="array" ref="F245">_xlfn.IFS(E245="DEF","DEF",TRUE,LEFT(E245,2))</f>
        <v>RB</v>
      </c>
      <c r="G245">
        <f>COUNTIFS(F$1:F245,F245)</f>
        <v>55</v>
      </c>
      <c r="H245" t="str">
        <f t="shared" si="17"/>
        <v>RB 55</v>
      </c>
      <c r="I245" t="str">
        <f t="shared" si="18"/>
        <v>4.2</v>
      </c>
    </row>
    <row r="246" spans="1:9" x14ac:dyDescent="0.25">
      <c r="A246" s="4" t="s">
        <v>740</v>
      </c>
      <c r="B246" t="s">
        <v>1074</v>
      </c>
      <c r="C246" t="str">
        <f t="shared" si="19"/>
        <v>Darius Slayton NYG - WR@TEN Sun 4:25PM-5.543.519WR 974.2</v>
      </c>
      <c r="D246" t="str">
        <f t="shared" si="15"/>
        <v>Darius Slayton </v>
      </c>
      <c r="E246" t="str">
        <f t="shared" si="16"/>
        <v>WR@</v>
      </c>
      <c r="F246" t="str" cm="1">
        <f t="array" ref="F246">_xlfn.IFS(E246="DEF","DEF",TRUE,LEFT(E246,2))</f>
        <v>WR</v>
      </c>
      <c r="G246">
        <f>COUNTIFS(F$1:F246,F246)</f>
        <v>97</v>
      </c>
      <c r="H246" t="str">
        <f t="shared" si="17"/>
        <v>WR 97</v>
      </c>
      <c r="I246" t="str">
        <f t="shared" si="18"/>
        <v>4.2</v>
      </c>
    </row>
    <row r="247" spans="1:9" x14ac:dyDescent="0.25">
      <c r="A247" s="4" t="s">
        <v>743</v>
      </c>
      <c r="B247" t="s">
        <v>1075</v>
      </c>
      <c r="C247" t="str">
        <f t="shared" si="19"/>
        <v>Jeff Wilson Jr. SF - RB@CHI Sun 1:00PM--74124RB 564.1</v>
      </c>
      <c r="D247" t="str">
        <f t="shared" si="15"/>
        <v>Jeff Wilson Jr.</v>
      </c>
      <c r="E247" t="str">
        <f t="shared" si="16"/>
        <v>RB@</v>
      </c>
      <c r="F247" t="str" cm="1">
        <f t="array" ref="F247">_xlfn.IFS(E247="DEF","DEF",TRUE,LEFT(E247,2))</f>
        <v>RB</v>
      </c>
      <c r="G247">
        <f>COUNTIFS(F$1:F247,F247)</f>
        <v>56</v>
      </c>
      <c r="H247" t="str">
        <f t="shared" si="17"/>
        <v>RB 56</v>
      </c>
      <c r="I247" t="str">
        <f t="shared" si="18"/>
        <v>4.1</v>
      </c>
    </row>
    <row r="248" spans="1:9" x14ac:dyDescent="0.25">
      <c r="A248" s="4" t="s">
        <v>746</v>
      </c>
      <c r="B248" t="s">
        <v>1076</v>
      </c>
      <c r="C248" t="str">
        <f t="shared" si="19"/>
        <v>Rex Burkhead HOU - RBIND Sun 1:00PM-84619RB 574.0</v>
      </c>
      <c r="D248" t="str">
        <f t="shared" si="15"/>
        <v>Rex Burkhead </v>
      </c>
      <c r="E248" t="str">
        <f t="shared" si="16"/>
        <v>RBI</v>
      </c>
      <c r="F248" t="str" cm="1">
        <f t="array" ref="F248">_xlfn.IFS(E248="DEF","DEF",TRUE,LEFT(E248,2))</f>
        <v>RB</v>
      </c>
      <c r="G248">
        <f>COUNTIFS(F$1:F248,F248)</f>
        <v>57</v>
      </c>
      <c r="H248" t="str">
        <f t="shared" si="17"/>
        <v>RB 57</v>
      </c>
      <c r="I248" t="str">
        <f t="shared" si="18"/>
        <v>4.0</v>
      </c>
    </row>
    <row r="249" spans="1:9" x14ac:dyDescent="0.25">
      <c r="A249" s="4" t="s">
        <v>749</v>
      </c>
      <c r="B249" t="s">
        <v>1077</v>
      </c>
      <c r="C249" t="str">
        <f t="shared" si="19"/>
        <v>Josh Reynolds DET - WRPHI Sun 1:00PM-448.522.5WR 984.0</v>
      </c>
      <c r="D249" t="str">
        <f t="shared" si="15"/>
        <v>Josh Reynolds </v>
      </c>
      <c r="E249" t="str">
        <f t="shared" si="16"/>
        <v>WRP</v>
      </c>
      <c r="F249" t="str" cm="1">
        <f t="array" ref="F249">_xlfn.IFS(E249="DEF","DEF",TRUE,LEFT(E249,2))</f>
        <v>WR</v>
      </c>
      <c r="G249">
        <f>COUNTIFS(F$1:F249,F249)</f>
        <v>98</v>
      </c>
      <c r="H249" t="str">
        <f t="shared" si="17"/>
        <v>WR 98</v>
      </c>
      <c r="I249" t="str">
        <f t="shared" si="18"/>
        <v>4.0</v>
      </c>
    </row>
    <row r="250" spans="1:9" x14ac:dyDescent="0.25">
      <c r="A250" s="4" t="s">
        <v>752</v>
      </c>
      <c r="B250" t="s">
        <v>1078</v>
      </c>
      <c r="C250" t="str">
        <f t="shared" si="19"/>
        <v>Kyle Philips TEN - WRNYG Sun 4:25PM--5.543.524.5WR 993.9</v>
      </c>
      <c r="D250" t="str">
        <f t="shared" si="15"/>
        <v>Kyle Philips </v>
      </c>
      <c r="E250" t="str">
        <f t="shared" si="16"/>
        <v>WRN</v>
      </c>
      <c r="F250" t="str" cm="1">
        <f t="array" ref="F250">_xlfn.IFS(E250="DEF","DEF",TRUE,LEFT(E250,2))</f>
        <v>WR</v>
      </c>
      <c r="G250">
        <f>COUNTIFS(F$1:F250,F250)</f>
        <v>99</v>
      </c>
      <c r="H250" t="str">
        <f t="shared" si="17"/>
        <v>WR 99</v>
      </c>
      <c r="I250" t="str">
        <f t="shared" si="18"/>
        <v>3.9</v>
      </c>
    </row>
    <row r="251" spans="1:9" x14ac:dyDescent="0.25">
      <c r="A251" s="4" t="s">
        <v>755</v>
      </c>
      <c r="B251" t="s">
        <v>1079</v>
      </c>
      <c r="C251" t="str">
        <f t="shared" si="19"/>
        <v>Jonnu Smith NE - TE@MIA Sun 1:00PM-346.522TE 303.8</v>
      </c>
      <c r="D251" t="str">
        <f t="shared" si="15"/>
        <v>Jonnu Smith</v>
      </c>
      <c r="E251" t="str">
        <f t="shared" si="16"/>
        <v>TE@</v>
      </c>
      <c r="F251" t="str" cm="1">
        <f t="array" ref="F251">_xlfn.IFS(E251="DEF","DEF",TRUE,LEFT(E251,2))</f>
        <v>TE</v>
      </c>
      <c r="G251">
        <f>COUNTIFS(F$1:F251,F251)</f>
        <v>30</v>
      </c>
      <c r="H251" t="str">
        <f t="shared" si="17"/>
        <v>TE 30</v>
      </c>
      <c r="I251" t="str">
        <f t="shared" si="18"/>
        <v>3.8</v>
      </c>
    </row>
    <row r="252" spans="1:9" x14ac:dyDescent="0.25">
      <c r="A252" s="4" t="s">
        <v>758</v>
      </c>
      <c r="B252" t="s">
        <v>1080</v>
      </c>
      <c r="C252" t="str">
        <f t="shared" si="19"/>
        <v>Velus Jones Jr. CHI - WRSF Sun 1:00PM-74117WR 1003.8</v>
      </c>
      <c r="D252" t="str">
        <f t="shared" si="15"/>
        <v>Velus Jones Jr. </v>
      </c>
      <c r="E252" t="str">
        <f t="shared" si="16"/>
        <v>WRS</v>
      </c>
      <c r="F252" t="str" cm="1">
        <f t="array" ref="F252">_xlfn.IFS(E252="DEF","DEF",TRUE,LEFT(E252,2))</f>
        <v>WR</v>
      </c>
      <c r="G252">
        <f>COUNTIFS(F$1:F252,F252)</f>
        <v>100</v>
      </c>
      <c r="H252" t="str">
        <f t="shared" si="17"/>
        <v>WR 100</v>
      </c>
      <c r="I252" t="str">
        <f t="shared" si="18"/>
        <v>3.8</v>
      </c>
    </row>
    <row r="253" spans="1:9" x14ac:dyDescent="0.25">
      <c r="A253" s="4" t="s">
        <v>761</v>
      </c>
      <c r="B253" t="s">
        <v>1081</v>
      </c>
      <c r="C253" t="str">
        <f t="shared" si="19"/>
        <v>Boston Scott PHI - RB@DET Sun 1:00PM--448.526.5RB 583.8</v>
      </c>
      <c r="D253" t="str">
        <f t="shared" si="15"/>
        <v>Boston Scott </v>
      </c>
      <c r="E253" t="str">
        <f t="shared" si="16"/>
        <v>RB@</v>
      </c>
      <c r="F253" t="str" cm="1">
        <f t="array" ref="F253">_xlfn.IFS(E253="DEF","DEF",TRUE,LEFT(E253,2))</f>
        <v>RB</v>
      </c>
      <c r="G253">
        <f>COUNTIFS(F$1:F253,F253)</f>
        <v>58</v>
      </c>
      <c r="H253" t="str">
        <f t="shared" si="17"/>
        <v>RB 58</v>
      </c>
      <c r="I253" t="str">
        <f t="shared" si="18"/>
        <v>3.8</v>
      </c>
    </row>
    <row r="254" spans="1:9" x14ac:dyDescent="0.25">
      <c r="A254" s="4" t="s">
        <v>764</v>
      </c>
      <c r="B254" t="s">
        <v>1082</v>
      </c>
      <c r="C254" t="str">
        <f t="shared" si="19"/>
        <v>Samaje Perine CIN - RBPIT Sun 1:00PM--6.544.525.5RB 593.8</v>
      </c>
      <c r="D254" t="str">
        <f t="shared" si="15"/>
        <v>Samaje Perine </v>
      </c>
      <c r="E254" t="str">
        <f t="shared" si="16"/>
        <v>RBP</v>
      </c>
      <c r="F254" t="str" cm="1">
        <f t="array" ref="F254">_xlfn.IFS(E254="DEF","DEF",TRUE,LEFT(E254,2))</f>
        <v>RB</v>
      </c>
      <c r="G254">
        <f>COUNTIFS(F$1:F254,F254)</f>
        <v>59</v>
      </c>
      <c r="H254" t="str">
        <f t="shared" si="17"/>
        <v>RB 59</v>
      </c>
      <c r="I254" t="str">
        <f t="shared" si="18"/>
        <v>3.8</v>
      </c>
    </row>
    <row r="255" spans="1:9" x14ac:dyDescent="0.25">
      <c r="A255" s="4" t="s">
        <v>767</v>
      </c>
      <c r="B255" t="s">
        <v>1083</v>
      </c>
      <c r="C255" t="str">
        <f t="shared" si="19"/>
        <v>Jalen Guyton LAC - WRLV Sun 4:25PM--3.552.528WR 1013.7</v>
      </c>
      <c r="D255" t="str">
        <f t="shared" si="15"/>
        <v>Jalen Guyton </v>
      </c>
      <c r="E255" t="str">
        <f t="shared" si="16"/>
        <v>WRL</v>
      </c>
      <c r="F255" t="str" cm="1">
        <f t="array" ref="F255">_xlfn.IFS(E255="DEF","DEF",TRUE,LEFT(E255,2))</f>
        <v>WR</v>
      </c>
      <c r="G255">
        <f>COUNTIFS(F$1:F255,F255)</f>
        <v>101</v>
      </c>
      <c r="H255" t="str">
        <f t="shared" si="17"/>
        <v>WR 101</v>
      </c>
      <c r="I255" t="str">
        <f t="shared" si="18"/>
        <v>3.7</v>
      </c>
    </row>
    <row r="256" spans="1:9" x14ac:dyDescent="0.25">
      <c r="A256" s="4" t="s">
        <v>770</v>
      </c>
      <c r="B256" t="s">
        <v>1084</v>
      </c>
      <c r="C256" t="str">
        <f t="shared" si="19"/>
        <v>Tyler Conklin NYJ - TEBAL Sun 1:00PM-744.519TE 313.7</v>
      </c>
      <c r="D256" t="str">
        <f t="shared" si="15"/>
        <v>Tyler Conklin </v>
      </c>
      <c r="E256" t="str">
        <f t="shared" si="16"/>
        <v>TEB</v>
      </c>
      <c r="F256" t="str" cm="1">
        <f t="array" ref="F256">_xlfn.IFS(E256="DEF","DEF",TRUE,LEFT(E256,2))</f>
        <v>TE</v>
      </c>
      <c r="G256">
        <f>COUNTIFS(F$1:F256,F256)</f>
        <v>31</v>
      </c>
      <c r="H256" t="str">
        <f t="shared" si="17"/>
        <v>TE 31</v>
      </c>
      <c r="I256" t="str">
        <f t="shared" si="18"/>
        <v>3.7</v>
      </c>
    </row>
    <row r="257" spans="1:9" x14ac:dyDescent="0.25">
      <c r="A257" s="4" t="s">
        <v>773</v>
      </c>
      <c r="B257" t="s">
        <v>1085</v>
      </c>
      <c r="C257" t="str">
        <f t="shared" si="19"/>
        <v>Ronald Jones II KC - RB@ARI Sun 4:25PM--4.553.529RB 603.7</v>
      </c>
      <c r="D257" t="str">
        <f t="shared" si="15"/>
        <v>Ronald Jones II</v>
      </c>
      <c r="E257" t="str">
        <f t="shared" si="16"/>
        <v>RB@</v>
      </c>
      <c r="F257" t="str" cm="1">
        <f t="array" ref="F257">_xlfn.IFS(E257="DEF","DEF",TRUE,LEFT(E257,2))</f>
        <v>RB</v>
      </c>
      <c r="G257">
        <f>COUNTIFS(F$1:F257,F257)</f>
        <v>60</v>
      </c>
      <c r="H257" t="str">
        <f t="shared" si="17"/>
        <v>RB 60</v>
      </c>
      <c r="I257" t="str">
        <f t="shared" si="18"/>
        <v>3.7</v>
      </c>
    </row>
    <row r="258" spans="1:9" x14ac:dyDescent="0.25">
      <c r="A258" s="4" t="s">
        <v>776</v>
      </c>
      <c r="B258" t="s">
        <v>1086</v>
      </c>
      <c r="C258" t="str">
        <f t="shared" si="19"/>
        <v>Dan Arnold JAC - TE@WAS Sun 1:00PM-343.520.5TE 323.6</v>
      </c>
      <c r="D258" t="str">
        <f t="shared" ref="D258:D275" si="20">TRIM(LEFT(C258,FIND(" - ",C258) - 4))</f>
        <v>Dan Arnold </v>
      </c>
      <c r="E258" t="str">
        <f t="shared" ref="E258:E275" si="21">MID(C258,FIND(" - ",C258)+3,3)</f>
        <v>TE@</v>
      </c>
      <c r="F258" t="str" cm="1">
        <f t="array" ref="F258">_xlfn.IFS(E258="DEF","DEF",TRUE,LEFT(E258,2))</f>
        <v>TE</v>
      </c>
      <c r="G258">
        <f>COUNTIFS(F$1:F258,F258)</f>
        <v>32</v>
      </c>
      <c r="H258" t="str">
        <f t="shared" ref="H258:H275" si="22">F258&amp;" "&amp;G258</f>
        <v>TE 32</v>
      </c>
      <c r="I258" t="str">
        <f t="shared" ref="I258:I275" si="23">RIGHT(C258,LEN(C258)-FIND(H258,C258)-LEN(H258)+1)</f>
        <v>3.6</v>
      </c>
    </row>
    <row r="259" spans="1:9" x14ac:dyDescent="0.25">
      <c r="A259" s="4" t="s">
        <v>779</v>
      </c>
      <c r="B259" t="s">
        <v>1087</v>
      </c>
      <c r="C259" t="str">
        <f t="shared" ref="C259:C275" si="24">B259</f>
        <v>Ameer Abdullah LV - RB@LAC Sun 4:25PM-3.552.524.5RB 613.6</v>
      </c>
      <c r="D259" t="str">
        <f t="shared" si="20"/>
        <v>Ameer Abdullah</v>
      </c>
      <c r="E259" t="str">
        <f t="shared" si="21"/>
        <v>RB@</v>
      </c>
      <c r="F259" t="str" cm="1">
        <f t="array" ref="F259">_xlfn.IFS(E259="DEF","DEF",TRUE,LEFT(E259,2))</f>
        <v>RB</v>
      </c>
      <c r="G259">
        <f>COUNTIFS(F$1:F259,F259)</f>
        <v>61</v>
      </c>
      <c r="H259" t="str">
        <f t="shared" si="22"/>
        <v>RB 61</v>
      </c>
      <c r="I259" t="str">
        <f t="shared" si="23"/>
        <v>3.6</v>
      </c>
    </row>
    <row r="260" spans="1:9" x14ac:dyDescent="0.25">
      <c r="A260" s="4" t="s">
        <v>782</v>
      </c>
      <c r="B260" t="s">
        <v>1088</v>
      </c>
      <c r="C260" t="str">
        <f t="shared" si="24"/>
        <v>Quintez Cephus DET - WRPHI Sun 1:00PM-448.522.5WR 1023.6</v>
      </c>
      <c r="D260" t="str">
        <f t="shared" si="20"/>
        <v>Quintez Cephus </v>
      </c>
      <c r="E260" t="str">
        <f t="shared" si="21"/>
        <v>WRP</v>
      </c>
      <c r="F260" t="str" cm="1">
        <f t="array" ref="F260">_xlfn.IFS(E260="DEF","DEF",TRUE,LEFT(E260,2))</f>
        <v>WR</v>
      </c>
      <c r="G260">
        <f>COUNTIFS(F$1:F260,F260)</f>
        <v>102</v>
      </c>
      <c r="H260" t="str">
        <f t="shared" si="22"/>
        <v>WR 102</v>
      </c>
      <c r="I260" t="str">
        <f t="shared" si="23"/>
        <v>3.6</v>
      </c>
    </row>
    <row r="261" spans="1:9" x14ac:dyDescent="0.25">
      <c r="A261" s="4" t="s">
        <v>785</v>
      </c>
      <c r="B261" t="s">
        <v>1089</v>
      </c>
      <c r="C261" t="str">
        <f t="shared" si="24"/>
        <v>Tre'Quan Smith NO - WR@ATL Sun 1:00PM--5.542.524WR 1033.5</v>
      </c>
      <c r="D261" t="str">
        <f t="shared" si="20"/>
        <v>Tre'Quan Smith</v>
      </c>
      <c r="E261" t="str">
        <f t="shared" si="21"/>
        <v>WR@</v>
      </c>
      <c r="F261" t="str" cm="1">
        <f t="array" ref="F261">_xlfn.IFS(E261="DEF","DEF",TRUE,LEFT(E261,2))</f>
        <v>WR</v>
      </c>
      <c r="G261">
        <f>COUNTIFS(F$1:F261,F261)</f>
        <v>103</v>
      </c>
      <c r="H261" t="str">
        <f t="shared" si="22"/>
        <v>WR 103</v>
      </c>
      <c r="I261" t="str">
        <f t="shared" si="23"/>
        <v>3.5</v>
      </c>
    </row>
    <row r="262" spans="1:9" x14ac:dyDescent="0.25">
      <c r="A262" s="4" t="s">
        <v>788</v>
      </c>
      <c r="B262" t="s">
        <v>1090</v>
      </c>
      <c r="C262" t="str">
        <f t="shared" si="24"/>
        <v>Michael Gallup DAL - WRTB Sun 8:20PM-1.55024.5WR 1043.5</v>
      </c>
      <c r="D262" t="str">
        <f t="shared" si="20"/>
        <v>Michael Gallup </v>
      </c>
      <c r="E262" t="str">
        <f t="shared" si="21"/>
        <v>WRT</v>
      </c>
      <c r="F262" t="str" cm="1">
        <f t="array" ref="F262">_xlfn.IFS(E262="DEF","DEF",TRUE,LEFT(E262,2))</f>
        <v>WR</v>
      </c>
      <c r="G262">
        <f>COUNTIFS(F$1:F262,F262)</f>
        <v>104</v>
      </c>
      <c r="H262" t="str">
        <f t="shared" si="22"/>
        <v>WR 104</v>
      </c>
      <c r="I262" t="str">
        <f t="shared" si="23"/>
        <v>3.5</v>
      </c>
    </row>
    <row r="263" spans="1:9" x14ac:dyDescent="0.25">
      <c r="A263" s="4" t="s">
        <v>791</v>
      </c>
      <c r="B263" t="s">
        <v>1091</v>
      </c>
      <c r="C263" t="str">
        <f t="shared" si="24"/>
        <v>Darrel Williams ARI - RBKC Sun 4:25PM-453.525RB 623.5</v>
      </c>
      <c r="D263" t="str">
        <f t="shared" si="20"/>
        <v>Darrel Williams </v>
      </c>
      <c r="E263" t="str">
        <f t="shared" si="21"/>
        <v>RBK</v>
      </c>
      <c r="F263" t="str" cm="1">
        <f t="array" ref="F263">_xlfn.IFS(E263="DEF","DEF",TRUE,LEFT(E263,2))</f>
        <v>RB</v>
      </c>
      <c r="G263">
        <f>COUNTIFS(F$1:F263,F263)</f>
        <v>62</v>
      </c>
      <c r="H263" t="str">
        <f t="shared" si="22"/>
        <v>RB 62</v>
      </c>
      <c r="I263" t="str">
        <f t="shared" si="23"/>
        <v>3.5</v>
      </c>
    </row>
    <row r="264" spans="1:9" x14ac:dyDescent="0.25">
      <c r="A264" s="4" t="s">
        <v>794</v>
      </c>
      <c r="B264" t="s">
        <v>1092</v>
      </c>
      <c r="C264" t="str">
        <f t="shared" si="24"/>
        <v>Jerick McKinnon KC - RB@ARI Sun 4:25PM--4.553.529RB 633.4</v>
      </c>
      <c r="D264" t="str">
        <f t="shared" si="20"/>
        <v>Jerick McKinnon</v>
      </c>
      <c r="E264" t="str">
        <f t="shared" si="21"/>
        <v>RB@</v>
      </c>
      <c r="F264" t="str" cm="1">
        <f t="array" ref="F264">_xlfn.IFS(E264="DEF","DEF",TRUE,LEFT(E264,2))</f>
        <v>RB</v>
      </c>
      <c r="G264">
        <f>COUNTIFS(F$1:F264,F264)</f>
        <v>63</v>
      </c>
      <c r="H264" t="str">
        <f t="shared" si="22"/>
        <v>RB 63</v>
      </c>
      <c r="I264" t="str">
        <f t="shared" si="23"/>
        <v>3.4</v>
      </c>
    </row>
    <row r="265" spans="1:9" x14ac:dyDescent="0.25">
      <c r="A265" s="4" t="s">
        <v>797</v>
      </c>
      <c r="B265" t="s">
        <v>1093</v>
      </c>
      <c r="C265" t="str">
        <f t="shared" si="24"/>
        <v>Quez Watkins PHI - WR@DET Sun 1:00PM--448.526.5WR 1053.4</v>
      </c>
      <c r="D265" t="str">
        <f t="shared" si="20"/>
        <v>Quez Watkins </v>
      </c>
      <c r="E265" t="str">
        <f t="shared" si="21"/>
        <v>WR@</v>
      </c>
      <c r="F265" t="str" cm="1">
        <f t="array" ref="F265">_xlfn.IFS(E265="DEF","DEF",TRUE,LEFT(E265,2))</f>
        <v>WR</v>
      </c>
      <c r="G265">
        <f>COUNTIFS(F$1:F265,F265)</f>
        <v>105</v>
      </c>
      <c r="H265" t="str">
        <f t="shared" si="22"/>
        <v>WR 105</v>
      </c>
      <c r="I265" t="str">
        <f t="shared" si="23"/>
        <v>3.4</v>
      </c>
    </row>
    <row r="266" spans="1:9" x14ac:dyDescent="0.25">
      <c r="A266" s="4" t="s">
        <v>800</v>
      </c>
      <c r="B266" t="s">
        <v>1094</v>
      </c>
      <c r="C266" t="str">
        <f t="shared" si="24"/>
        <v>Adam Trautman NO - TE@ATL Sun 1:00PM--5.542.524TE 333.4</v>
      </c>
      <c r="D266" t="str">
        <f t="shared" si="20"/>
        <v>Adam Trautman</v>
      </c>
      <c r="E266" t="str">
        <f t="shared" si="21"/>
        <v>TE@</v>
      </c>
      <c r="F266" t="str" cm="1">
        <f t="array" ref="F266">_xlfn.IFS(E266="DEF","DEF",TRUE,LEFT(E266,2))</f>
        <v>TE</v>
      </c>
      <c r="G266">
        <f>COUNTIFS(F$1:F266,F266)</f>
        <v>33</v>
      </c>
      <c r="H266" t="str">
        <f t="shared" si="22"/>
        <v>TE 33</v>
      </c>
      <c r="I266" t="str">
        <f t="shared" si="23"/>
        <v>3.4</v>
      </c>
    </row>
    <row r="267" spans="1:9" x14ac:dyDescent="0.25">
      <c r="A267" s="4" t="s">
        <v>803</v>
      </c>
      <c r="B267" t="s">
        <v>1095</v>
      </c>
      <c r="C267" t="str">
        <f t="shared" si="24"/>
        <v>Amari Rodgers GB - WR@MIN Sun 4:25PM--1.54825WR 1063.4</v>
      </c>
      <c r="D267" t="str">
        <f t="shared" si="20"/>
        <v>Amari Rodgers</v>
      </c>
      <c r="E267" t="str">
        <f t="shared" si="21"/>
        <v>WR@</v>
      </c>
      <c r="F267" t="str" cm="1">
        <f t="array" ref="F267">_xlfn.IFS(E267="DEF","DEF",TRUE,LEFT(E267,2))</f>
        <v>WR</v>
      </c>
      <c r="G267">
        <f>COUNTIFS(F$1:F267,F267)</f>
        <v>106</v>
      </c>
      <c r="H267" t="str">
        <f t="shared" si="22"/>
        <v>WR 106</v>
      </c>
      <c r="I267" t="str">
        <f t="shared" si="23"/>
        <v>3.4</v>
      </c>
    </row>
    <row r="268" spans="1:9" x14ac:dyDescent="0.25">
      <c r="A268" s="4" t="s">
        <v>806</v>
      </c>
      <c r="B268" t="s">
        <v>1096</v>
      </c>
      <c r="C268" t="str">
        <f t="shared" si="24"/>
        <v>Trey McBride ARI - TEKC Sun 4:25PM-453.525TE 343.3</v>
      </c>
      <c r="D268" t="str">
        <f t="shared" si="20"/>
        <v>Trey McBride </v>
      </c>
      <c r="E268" t="str">
        <f t="shared" si="21"/>
        <v>TEK</v>
      </c>
      <c r="F268" t="str" cm="1">
        <f t="array" ref="F268">_xlfn.IFS(E268="DEF","DEF",TRUE,LEFT(E268,2))</f>
        <v>TE</v>
      </c>
      <c r="G268">
        <f>COUNTIFS(F$1:F268,F268)</f>
        <v>34</v>
      </c>
      <c r="H268" t="str">
        <f t="shared" si="22"/>
        <v>TE 34</v>
      </c>
      <c r="I268" t="str">
        <f t="shared" si="23"/>
        <v>3.3</v>
      </c>
    </row>
    <row r="269" spans="1:9" x14ac:dyDescent="0.25">
      <c r="A269" s="4" t="s">
        <v>809</v>
      </c>
      <c r="B269" t="s">
        <v>1097</v>
      </c>
      <c r="C269" t="str">
        <f t="shared" si="24"/>
        <v>Harrison Bryant CLE - TE@CAR Sun 1:00PM-2.541.519.5TE 353.3</v>
      </c>
      <c r="D269" t="str">
        <f t="shared" si="20"/>
        <v>Harrison Bryant </v>
      </c>
      <c r="E269" t="str">
        <f t="shared" si="21"/>
        <v>TE@</v>
      </c>
      <c r="F269" t="str" cm="1">
        <f t="array" ref="F269">_xlfn.IFS(E269="DEF","DEF",TRUE,LEFT(E269,2))</f>
        <v>TE</v>
      </c>
      <c r="G269">
        <f>COUNTIFS(F$1:F269,F269)</f>
        <v>35</v>
      </c>
      <c r="H269" t="str">
        <f t="shared" si="22"/>
        <v>TE 35</v>
      </c>
      <c r="I269" t="str">
        <f t="shared" si="23"/>
        <v>3.3</v>
      </c>
    </row>
    <row r="270" spans="1:9" x14ac:dyDescent="0.25">
      <c r="A270" s="4" t="s">
        <v>812</v>
      </c>
      <c r="B270" t="s">
        <v>1098</v>
      </c>
      <c r="C270" t="str">
        <f t="shared" si="24"/>
        <v>Isaiah Likely BAL - TE@NYJ Sun 1:00PM--744.526TE 363.3</v>
      </c>
      <c r="D270" t="str">
        <f t="shared" si="20"/>
        <v>Isaiah Likely </v>
      </c>
      <c r="E270" t="str">
        <f t="shared" si="21"/>
        <v>TE@</v>
      </c>
      <c r="F270" t="str" cm="1">
        <f t="array" ref="F270">_xlfn.IFS(E270="DEF","DEF",TRUE,LEFT(E270,2))</f>
        <v>TE</v>
      </c>
      <c r="G270">
        <f>COUNTIFS(F$1:F270,F270)</f>
        <v>36</v>
      </c>
      <c r="H270" t="str">
        <f t="shared" si="22"/>
        <v>TE 36</v>
      </c>
      <c r="I270" t="str">
        <f t="shared" si="23"/>
        <v>3.3</v>
      </c>
    </row>
    <row r="271" spans="1:9" x14ac:dyDescent="0.25">
      <c r="A271" s="4" t="s">
        <v>815</v>
      </c>
      <c r="B271" t="s">
        <v>1099</v>
      </c>
      <c r="C271" t="str">
        <f t="shared" si="24"/>
        <v>Khalil Shakir BUF - WR@LAR Thu 8:20PM--2.552.527.5WR 1073.2</v>
      </c>
      <c r="D271" t="str">
        <f t="shared" si="20"/>
        <v>Khalil Shakir </v>
      </c>
      <c r="E271" t="str">
        <f t="shared" si="21"/>
        <v>WR@</v>
      </c>
      <c r="F271" t="str" cm="1">
        <f t="array" ref="F271">_xlfn.IFS(E271="DEF","DEF",TRUE,LEFT(E271,2))</f>
        <v>WR</v>
      </c>
      <c r="G271">
        <f>COUNTIFS(F$1:F271,F271)</f>
        <v>107</v>
      </c>
      <c r="H271" t="str">
        <f t="shared" si="22"/>
        <v>WR 107</v>
      </c>
      <c r="I271" t="str">
        <f t="shared" si="23"/>
        <v>3.2</v>
      </c>
    </row>
    <row r="272" spans="1:9" x14ac:dyDescent="0.25">
      <c r="A272" s="4" t="s">
        <v>818</v>
      </c>
      <c r="B272" t="s">
        <v>1100</v>
      </c>
      <c r="C272" t="str">
        <f t="shared" si="24"/>
        <v>Olamide Zaccheaus ATL - WRNO Sun 1:00PM-5.542.518.5WR 1083.2</v>
      </c>
      <c r="D272" t="str">
        <f t="shared" si="20"/>
        <v>Olamide Zaccheaus </v>
      </c>
      <c r="E272" t="str">
        <f t="shared" si="21"/>
        <v>WRN</v>
      </c>
      <c r="F272" t="str" cm="1">
        <f t="array" ref="F272">_xlfn.IFS(E272="DEF","DEF",TRUE,LEFT(E272,2))</f>
        <v>WR</v>
      </c>
      <c r="G272">
        <f>COUNTIFS(F$1:F272,F272)</f>
        <v>108</v>
      </c>
      <c r="H272" t="str">
        <f t="shared" si="22"/>
        <v>WR 108</v>
      </c>
      <c r="I272" t="str">
        <f t="shared" si="23"/>
        <v>3.2</v>
      </c>
    </row>
    <row r="273" spans="1:9" x14ac:dyDescent="0.25">
      <c r="A273" s="4" t="s">
        <v>821</v>
      </c>
      <c r="B273" t="s">
        <v>1101</v>
      </c>
      <c r="C273" t="str">
        <f t="shared" si="24"/>
        <v>Jalen Reagor MIN - WRGB Sun 4:25PM-1.54823.5WR 1093.2</v>
      </c>
      <c r="D273" t="str">
        <f t="shared" si="20"/>
        <v>Jalen Reagor </v>
      </c>
      <c r="E273" t="str">
        <f t="shared" si="21"/>
        <v>WRG</v>
      </c>
      <c r="F273" t="str" cm="1">
        <f t="array" ref="F273">_xlfn.IFS(E273="DEF","DEF",TRUE,LEFT(E273,2))</f>
        <v>WR</v>
      </c>
      <c r="G273">
        <f>COUNTIFS(F$1:F273,F273)</f>
        <v>109</v>
      </c>
      <c r="H273" t="str">
        <f t="shared" si="22"/>
        <v>WR 109</v>
      </c>
      <c r="I273" t="str">
        <f t="shared" si="23"/>
        <v>3.2</v>
      </c>
    </row>
    <row r="274" spans="1:9" x14ac:dyDescent="0.25">
      <c r="A274" s="4" t="s">
        <v>824</v>
      </c>
      <c r="B274" t="s">
        <v>1102</v>
      </c>
      <c r="C274" t="str">
        <f t="shared" si="24"/>
        <v>Daniel Bellinger NYG - TE@TEN Sun 4:25PM-5.543.519TE 373.2</v>
      </c>
      <c r="D274" t="str">
        <f t="shared" si="20"/>
        <v>Daniel Bellinger </v>
      </c>
      <c r="E274" t="str">
        <f t="shared" si="21"/>
        <v>TE@</v>
      </c>
      <c r="F274" t="str" cm="1">
        <f t="array" ref="F274">_xlfn.IFS(E274="DEF","DEF",TRUE,LEFT(E274,2))</f>
        <v>TE</v>
      </c>
      <c r="G274">
        <f>COUNTIFS(F$1:F274,F274)</f>
        <v>37</v>
      </c>
      <c r="H274" t="str">
        <f t="shared" si="22"/>
        <v>TE 37</v>
      </c>
      <c r="I274" t="str">
        <f t="shared" si="23"/>
        <v>3.2</v>
      </c>
    </row>
    <row r="275" spans="1:9" x14ac:dyDescent="0.25">
      <c r="A275" s="4" t="s">
        <v>827</v>
      </c>
      <c r="B275" t="s">
        <v>1103</v>
      </c>
      <c r="C275" t="str">
        <f t="shared" si="24"/>
        <v>Noah Brown DAL - WRTB Sun 8:20PM-1.55024.5WR 1103.0</v>
      </c>
      <c r="D275" t="str">
        <f t="shared" si="20"/>
        <v>Noah Brown </v>
      </c>
      <c r="E275" t="str">
        <f t="shared" si="21"/>
        <v>WRT</v>
      </c>
      <c r="F275" t="str" cm="1">
        <f t="array" ref="F275">_xlfn.IFS(E275="DEF","DEF",TRUE,LEFT(E275,2))</f>
        <v>WR</v>
      </c>
      <c r="G275">
        <f>COUNTIFS(F$1:F275,F275)</f>
        <v>110</v>
      </c>
      <c r="H275" t="str">
        <f t="shared" si="22"/>
        <v>WR 110</v>
      </c>
      <c r="I275" t="str">
        <f t="shared" si="23"/>
        <v>3.0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E9D58-6383-429B-AB6C-EE3BB092C3D1}">
  <sheetPr codeName="Sheet4"/>
  <dimension ref="A1:E276"/>
  <sheetViews>
    <sheetView tabSelected="1" topLeftCell="A146" workbookViewId="0">
      <selection activeCell="A150" sqref="A150"/>
    </sheetView>
  </sheetViews>
  <sheetFormatPr defaultRowHeight="15" x14ac:dyDescent="0.25"/>
  <cols>
    <col min="1" max="1" width="66.5703125" bestFit="1" customWidth="1"/>
    <col min="2" max="2" width="24.5703125" bestFit="1" customWidth="1"/>
    <col min="3" max="3" width="8.28515625" bestFit="1" customWidth="1"/>
    <col min="4" max="4" width="13.140625" bestFit="1" customWidth="1"/>
    <col min="5" max="5" width="5.140625" bestFit="1" customWidth="1"/>
  </cols>
  <sheetData>
    <row r="1" spans="1:5" x14ac:dyDescent="0.25">
      <c r="A1" t="s">
        <v>1781</v>
      </c>
      <c r="B1" t="s">
        <v>1782</v>
      </c>
      <c r="C1" t="s">
        <v>1783</v>
      </c>
      <c r="D1" t="s">
        <v>1784</v>
      </c>
      <c r="E1" t="s">
        <v>1785</v>
      </c>
    </row>
    <row r="2" spans="1:5" x14ac:dyDescent="0.25">
      <c r="A2" t="s">
        <v>1105</v>
      </c>
      <c r="B2" t="s">
        <v>1106</v>
      </c>
      <c r="C2" t="s" cm="1">
        <v>1107</v>
      </c>
      <c r="D2" t="s">
        <v>1108</v>
      </c>
      <c r="E2" t="s">
        <v>1109</v>
      </c>
    </row>
    <row r="3" spans="1:5" x14ac:dyDescent="0.25">
      <c r="A3" t="s">
        <v>830</v>
      </c>
      <c r="B3" t="s">
        <v>1110</v>
      </c>
      <c r="C3" t="s" cm="1">
        <v>1107</v>
      </c>
      <c r="D3" t="s">
        <v>1111</v>
      </c>
      <c r="E3" t="s">
        <v>1112</v>
      </c>
    </row>
    <row r="4" spans="1:5" x14ac:dyDescent="0.25">
      <c r="A4" t="s">
        <v>831</v>
      </c>
      <c r="B4" t="s">
        <v>1113</v>
      </c>
      <c r="C4" t="s" cm="1">
        <v>1114</v>
      </c>
      <c r="D4" t="s">
        <v>1115</v>
      </c>
      <c r="E4" t="s">
        <v>1116</v>
      </c>
    </row>
    <row r="5" spans="1:5" x14ac:dyDescent="0.25">
      <c r="A5" t="s">
        <v>832</v>
      </c>
      <c r="B5" t="s">
        <v>1117</v>
      </c>
      <c r="C5" t="s" cm="1">
        <v>1107</v>
      </c>
      <c r="D5" t="s">
        <v>1118</v>
      </c>
      <c r="E5" t="s">
        <v>1119</v>
      </c>
    </row>
    <row r="6" spans="1:5" x14ac:dyDescent="0.25">
      <c r="A6" t="s">
        <v>833</v>
      </c>
      <c r="B6" t="s">
        <v>1120</v>
      </c>
      <c r="C6" t="s" cm="1">
        <v>1107</v>
      </c>
      <c r="D6" t="s">
        <v>1121</v>
      </c>
      <c r="E6" t="s">
        <v>1122</v>
      </c>
    </row>
    <row r="7" spans="1:5" x14ac:dyDescent="0.25">
      <c r="A7" t="s">
        <v>834</v>
      </c>
      <c r="B7" t="s">
        <v>1123</v>
      </c>
      <c r="C7" t="s" cm="1">
        <v>1107</v>
      </c>
      <c r="D7" t="s">
        <v>1124</v>
      </c>
      <c r="E7" t="s">
        <v>1125</v>
      </c>
    </row>
    <row r="8" spans="1:5" x14ac:dyDescent="0.25">
      <c r="A8" t="s">
        <v>835</v>
      </c>
      <c r="B8" t="s">
        <v>1126</v>
      </c>
      <c r="C8" t="s" cm="1">
        <v>1107</v>
      </c>
      <c r="D8" t="s">
        <v>1127</v>
      </c>
      <c r="E8" t="s">
        <v>1128</v>
      </c>
    </row>
    <row r="9" spans="1:5" x14ac:dyDescent="0.25">
      <c r="A9" t="s">
        <v>836</v>
      </c>
      <c r="B9" t="s">
        <v>1129</v>
      </c>
      <c r="C9" t="s" cm="1">
        <v>1107</v>
      </c>
      <c r="D9" t="s">
        <v>1130</v>
      </c>
      <c r="E9" t="s">
        <v>1131</v>
      </c>
    </row>
    <row r="10" spans="1:5" x14ac:dyDescent="0.25">
      <c r="A10" t="s">
        <v>837</v>
      </c>
      <c r="B10" t="s">
        <v>1132</v>
      </c>
      <c r="C10" t="s" cm="1">
        <v>1114</v>
      </c>
      <c r="D10" t="s">
        <v>1133</v>
      </c>
      <c r="E10" t="s">
        <v>1131</v>
      </c>
    </row>
    <row r="11" spans="1:5" x14ac:dyDescent="0.25">
      <c r="A11" t="s">
        <v>838</v>
      </c>
      <c r="B11" t="s">
        <v>1134</v>
      </c>
      <c r="C11" t="s" cm="1">
        <v>1107</v>
      </c>
      <c r="D11" t="s">
        <v>1135</v>
      </c>
      <c r="E11" t="s">
        <v>1136</v>
      </c>
    </row>
    <row r="12" spans="1:5" x14ac:dyDescent="0.25">
      <c r="A12" t="s">
        <v>839</v>
      </c>
      <c r="B12" t="s">
        <v>1137</v>
      </c>
      <c r="C12" t="s" cm="1">
        <v>1107</v>
      </c>
      <c r="D12" t="s">
        <v>1138</v>
      </c>
      <c r="E12" t="s">
        <v>1136</v>
      </c>
    </row>
    <row r="13" spans="1:5" x14ac:dyDescent="0.25">
      <c r="A13" t="s">
        <v>840</v>
      </c>
      <c r="B13" t="s">
        <v>1139</v>
      </c>
      <c r="C13" t="s" cm="1">
        <v>1107</v>
      </c>
      <c r="D13" t="s">
        <v>1140</v>
      </c>
      <c r="E13" t="s">
        <v>1141</v>
      </c>
    </row>
    <row r="14" spans="1:5" x14ac:dyDescent="0.25">
      <c r="A14" t="s">
        <v>841</v>
      </c>
      <c r="B14" t="s">
        <v>1142</v>
      </c>
      <c r="C14" t="s" cm="1">
        <v>1107</v>
      </c>
      <c r="D14" t="s">
        <v>1143</v>
      </c>
      <c r="E14" t="s">
        <v>1144</v>
      </c>
    </row>
    <row r="15" spans="1:5" x14ac:dyDescent="0.25">
      <c r="A15" t="s">
        <v>842</v>
      </c>
      <c r="B15" t="s">
        <v>1145</v>
      </c>
      <c r="C15" t="s" cm="1">
        <v>1107</v>
      </c>
      <c r="D15" t="s">
        <v>1146</v>
      </c>
      <c r="E15" t="s">
        <v>1147</v>
      </c>
    </row>
    <row r="16" spans="1:5" x14ac:dyDescent="0.25">
      <c r="A16" t="s">
        <v>843</v>
      </c>
      <c r="B16" t="s">
        <v>1148</v>
      </c>
      <c r="C16" t="s" cm="1">
        <v>1107</v>
      </c>
      <c r="D16" t="s">
        <v>1149</v>
      </c>
      <c r="E16" t="s">
        <v>1150</v>
      </c>
    </row>
    <row r="17" spans="1:5" x14ac:dyDescent="0.25">
      <c r="A17" t="s">
        <v>844</v>
      </c>
      <c r="B17" t="s">
        <v>1151</v>
      </c>
      <c r="C17" t="s" cm="1">
        <v>1107</v>
      </c>
      <c r="D17" t="s">
        <v>1152</v>
      </c>
      <c r="E17" t="s">
        <v>1153</v>
      </c>
    </row>
    <row r="18" spans="1:5" x14ac:dyDescent="0.25">
      <c r="A18" t="s">
        <v>845</v>
      </c>
      <c r="B18" t="s">
        <v>1154</v>
      </c>
      <c r="C18" t="s" cm="1">
        <v>1107</v>
      </c>
      <c r="D18" t="s">
        <v>1155</v>
      </c>
      <c r="E18" t="s">
        <v>1156</v>
      </c>
    </row>
    <row r="19" spans="1:5" x14ac:dyDescent="0.25">
      <c r="A19" t="s">
        <v>846</v>
      </c>
      <c r="B19" t="s">
        <v>1157</v>
      </c>
      <c r="C19" t="s" cm="1">
        <v>1107</v>
      </c>
      <c r="D19" t="s">
        <v>1158</v>
      </c>
      <c r="E19" t="s">
        <v>1156</v>
      </c>
    </row>
    <row r="20" spans="1:5" x14ac:dyDescent="0.25">
      <c r="A20" t="s">
        <v>847</v>
      </c>
      <c r="B20" t="s">
        <v>1159</v>
      </c>
      <c r="C20" t="s" cm="1">
        <v>1107</v>
      </c>
      <c r="D20" t="s">
        <v>1160</v>
      </c>
      <c r="E20" t="s">
        <v>1161</v>
      </c>
    </row>
    <row r="21" spans="1:5" x14ac:dyDescent="0.25">
      <c r="A21" t="s">
        <v>848</v>
      </c>
      <c r="B21" t="s">
        <v>1162</v>
      </c>
      <c r="C21" t="s" cm="1">
        <v>1114</v>
      </c>
      <c r="D21" t="s">
        <v>1163</v>
      </c>
      <c r="E21" t="s">
        <v>1161</v>
      </c>
    </row>
    <row r="22" spans="1:5" x14ac:dyDescent="0.25">
      <c r="A22" t="s">
        <v>849</v>
      </c>
      <c r="B22" t="s">
        <v>1164</v>
      </c>
      <c r="C22" t="s" cm="1">
        <v>1107</v>
      </c>
      <c r="D22" t="s">
        <v>1165</v>
      </c>
      <c r="E22" t="s">
        <v>1161</v>
      </c>
    </row>
    <row r="23" spans="1:5" x14ac:dyDescent="0.25">
      <c r="A23" t="s">
        <v>850</v>
      </c>
      <c r="B23" t="s">
        <v>1166</v>
      </c>
      <c r="C23" t="s" cm="1">
        <v>1114</v>
      </c>
      <c r="D23" t="s">
        <v>1167</v>
      </c>
      <c r="E23" t="s">
        <v>1168</v>
      </c>
    </row>
    <row r="24" spans="1:5" x14ac:dyDescent="0.25">
      <c r="A24" t="s">
        <v>851</v>
      </c>
      <c r="B24" t="s">
        <v>1169</v>
      </c>
      <c r="C24" t="s" cm="1">
        <v>1170</v>
      </c>
      <c r="D24" t="s">
        <v>1171</v>
      </c>
      <c r="E24" t="s">
        <v>1172</v>
      </c>
    </row>
    <row r="25" spans="1:5" x14ac:dyDescent="0.25">
      <c r="A25" t="s">
        <v>852</v>
      </c>
      <c r="B25" t="s">
        <v>1173</v>
      </c>
      <c r="C25" t="s" cm="1">
        <v>1107</v>
      </c>
      <c r="D25" t="s">
        <v>1174</v>
      </c>
      <c r="E25" t="s">
        <v>1172</v>
      </c>
    </row>
    <row r="26" spans="1:5" x14ac:dyDescent="0.25">
      <c r="A26" t="s">
        <v>853</v>
      </c>
      <c r="B26" t="s">
        <v>1175</v>
      </c>
      <c r="C26" t="s" cm="1">
        <v>1107</v>
      </c>
      <c r="D26" t="s">
        <v>1176</v>
      </c>
      <c r="E26" t="s">
        <v>1172</v>
      </c>
    </row>
    <row r="27" spans="1:5" x14ac:dyDescent="0.25">
      <c r="A27" t="s">
        <v>854</v>
      </c>
      <c r="B27" t="s">
        <v>1177</v>
      </c>
      <c r="C27" t="s" cm="1">
        <v>1107</v>
      </c>
      <c r="D27" t="s">
        <v>1178</v>
      </c>
      <c r="E27" t="s">
        <v>1179</v>
      </c>
    </row>
    <row r="28" spans="1:5" x14ac:dyDescent="0.25">
      <c r="A28" t="s">
        <v>855</v>
      </c>
      <c r="B28" t="s">
        <v>1180</v>
      </c>
      <c r="C28" t="s" cm="1">
        <v>1107</v>
      </c>
      <c r="D28" t="s">
        <v>1181</v>
      </c>
      <c r="E28" t="s">
        <v>1182</v>
      </c>
    </row>
    <row r="29" spans="1:5" x14ac:dyDescent="0.25">
      <c r="A29" t="s">
        <v>856</v>
      </c>
      <c r="B29" t="s">
        <v>1183</v>
      </c>
      <c r="C29" t="s" cm="1">
        <v>1107</v>
      </c>
      <c r="D29" t="s">
        <v>1184</v>
      </c>
      <c r="E29" t="s">
        <v>1182</v>
      </c>
    </row>
    <row r="30" spans="1:5" x14ac:dyDescent="0.25">
      <c r="A30" t="s">
        <v>857</v>
      </c>
      <c r="B30" t="s">
        <v>1185</v>
      </c>
      <c r="C30" t="s" cm="1">
        <v>1107</v>
      </c>
      <c r="D30" t="s">
        <v>1186</v>
      </c>
      <c r="E30" t="s">
        <v>1187</v>
      </c>
    </row>
    <row r="31" spans="1:5" x14ac:dyDescent="0.25">
      <c r="A31" t="s">
        <v>858</v>
      </c>
      <c r="B31" t="s">
        <v>1188</v>
      </c>
      <c r="C31" t="s" cm="1">
        <v>1107</v>
      </c>
      <c r="D31" t="s">
        <v>1189</v>
      </c>
      <c r="E31" t="s">
        <v>1190</v>
      </c>
    </row>
    <row r="32" spans="1:5" x14ac:dyDescent="0.25">
      <c r="A32" t="s">
        <v>859</v>
      </c>
      <c r="B32" t="s">
        <v>1191</v>
      </c>
      <c r="C32" t="s" cm="1">
        <v>1107</v>
      </c>
      <c r="D32" t="s">
        <v>1192</v>
      </c>
      <c r="E32" t="s">
        <v>1190</v>
      </c>
    </row>
    <row r="33" spans="1:5" x14ac:dyDescent="0.25">
      <c r="A33" t="s">
        <v>860</v>
      </c>
      <c r="B33" t="s">
        <v>1193</v>
      </c>
      <c r="C33" t="s" cm="1">
        <v>1114</v>
      </c>
      <c r="D33" t="s">
        <v>1194</v>
      </c>
      <c r="E33" t="s">
        <v>1190</v>
      </c>
    </row>
    <row r="34" spans="1:5" x14ac:dyDescent="0.25">
      <c r="A34" t="s">
        <v>861</v>
      </c>
      <c r="B34" t="s">
        <v>1195</v>
      </c>
      <c r="C34" t="s" cm="1">
        <v>1114</v>
      </c>
      <c r="D34" t="s">
        <v>1196</v>
      </c>
      <c r="E34" t="s">
        <v>1190</v>
      </c>
    </row>
    <row r="35" spans="1:5" x14ac:dyDescent="0.25">
      <c r="A35" t="s">
        <v>862</v>
      </c>
      <c r="B35" t="s">
        <v>1197</v>
      </c>
      <c r="C35" t="s" cm="1">
        <v>1107</v>
      </c>
      <c r="D35" t="s">
        <v>1198</v>
      </c>
      <c r="E35" t="s">
        <v>1199</v>
      </c>
    </row>
    <row r="36" spans="1:5" x14ac:dyDescent="0.25">
      <c r="A36" t="s">
        <v>863</v>
      </c>
      <c r="B36" t="s">
        <v>1200</v>
      </c>
      <c r="C36" t="s" cm="1">
        <v>1107</v>
      </c>
      <c r="D36" t="s">
        <v>1201</v>
      </c>
      <c r="E36" t="s">
        <v>1202</v>
      </c>
    </row>
    <row r="37" spans="1:5" x14ac:dyDescent="0.25">
      <c r="A37" t="s">
        <v>864</v>
      </c>
      <c r="B37" t="s">
        <v>1203</v>
      </c>
      <c r="C37" t="s" cm="1">
        <v>1170</v>
      </c>
      <c r="D37" t="s">
        <v>1204</v>
      </c>
      <c r="E37" t="s">
        <v>1205</v>
      </c>
    </row>
    <row r="38" spans="1:5" x14ac:dyDescent="0.25">
      <c r="A38" t="s">
        <v>865</v>
      </c>
      <c r="B38" t="s">
        <v>1206</v>
      </c>
      <c r="C38" t="s" cm="1">
        <v>1107</v>
      </c>
      <c r="D38" t="s">
        <v>1207</v>
      </c>
      <c r="E38" t="s">
        <v>1208</v>
      </c>
    </row>
    <row r="39" spans="1:5" x14ac:dyDescent="0.25">
      <c r="A39" t="s">
        <v>866</v>
      </c>
      <c r="B39" t="s">
        <v>1209</v>
      </c>
      <c r="C39" t="s" cm="1">
        <v>1170</v>
      </c>
      <c r="D39" t="s">
        <v>1210</v>
      </c>
      <c r="E39" t="s">
        <v>1211</v>
      </c>
    </row>
    <row r="40" spans="1:5" x14ac:dyDescent="0.25">
      <c r="A40" t="s">
        <v>867</v>
      </c>
      <c r="B40" t="s">
        <v>1212</v>
      </c>
      <c r="C40" t="s" cm="1">
        <v>1114</v>
      </c>
      <c r="D40" t="s">
        <v>1213</v>
      </c>
      <c r="E40" t="s">
        <v>1211</v>
      </c>
    </row>
    <row r="41" spans="1:5" x14ac:dyDescent="0.25">
      <c r="A41" t="s">
        <v>868</v>
      </c>
      <c r="B41" t="s">
        <v>1214</v>
      </c>
      <c r="C41" t="s" cm="1">
        <v>1114</v>
      </c>
      <c r="D41" t="s">
        <v>1215</v>
      </c>
      <c r="E41" t="s">
        <v>1211</v>
      </c>
    </row>
    <row r="42" spans="1:5" x14ac:dyDescent="0.25">
      <c r="A42" t="s">
        <v>869</v>
      </c>
      <c r="B42" t="s">
        <v>1216</v>
      </c>
      <c r="C42" t="s" cm="1">
        <v>1107</v>
      </c>
      <c r="D42" t="s">
        <v>1217</v>
      </c>
      <c r="E42" t="s">
        <v>1211</v>
      </c>
    </row>
    <row r="43" spans="1:5" x14ac:dyDescent="0.25">
      <c r="A43" t="s">
        <v>870</v>
      </c>
      <c r="B43" t="s">
        <v>1218</v>
      </c>
      <c r="C43" t="s" cm="1">
        <v>1170</v>
      </c>
      <c r="D43" t="s">
        <v>1219</v>
      </c>
      <c r="E43" t="s">
        <v>1220</v>
      </c>
    </row>
    <row r="44" spans="1:5" x14ac:dyDescent="0.25">
      <c r="A44" t="s">
        <v>871</v>
      </c>
      <c r="B44" t="s">
        <v>1221</v>
      </c>
      <c r="C44" t="s" cm="1">
        <v>1107</v>
      </c>
      <c r="D44" t="s">
        <v>1222</v>
      </c>
      <c r="E44" t="s">
        <v>1223</v>
      </c>
    </row>
    <row r="45" spans="1:5" x14ac:dyDescent="0.25">
      <c r="A45" t="s">
        <v>872</v>
      </c>
      <c r="B45" t="s">
        <v>1224</v>
      </c>
      <c r="C45" t="s" cm="1">
        <v>1170</v>
      </c>
      <c r="D45" t="s">
        <v>1225</v>
      </c>
      <c r="E45" t="s">
        <v>1226</v>
      </c>
    </row>
    <row r="46" spans="1:5" x14ac:dyDescent="0.25">
      <c r="A46" t="s">
        <v>873</v>
      </c>
      <c r="B46" t="s">
        <v>1227</v>
      </c>
      <c r="C46" t="s" cm="1">
        <v>1114</v>
      </c>
      <c r="D46" t="s">
        <v>1228</v>
      </c>
      <c r="E46" t="s">
        <v>1226</v>
      </c>
    </row>
    <row r="47" spans="1:5" x14ac:dyDescent="0.25">
      <c r="A47" t="s">
        <v>874</v>
      </c>
      <c r="B47" t="s">
        <v>1229</v>
      </c>
      <c r="C47" t="s" cm="1">
        <v>1114</v>
      </c>
      <c r="D47" t="s">
        <v>1230</v>
      </c>
      <c r="E47" t="s">
        <v>1231</v>
      </c>
    </row>
    <row r="48" spans="1:5" x14ac:dyDescent="0.25">
      <c r="A48" t="s">
        <v>875</v>
      </c>
      <c r="B48" t="s">
        <v>1232</v>
      </c>
      <c r="C48" t="s" cm="1">
        <v>1114</v>
      </c>
      <c r="D48" t="s">
        <v>1233</v>
      </c>
      <c r="E48" t="s">
        <v>1231</v>
      </c>
    </row>
    <row r="49" spans="1:5" x14ac:dyDescent="0.25">
      <c r="A49" t="s">
        <v>876</v>
      </c>
      <c r="B49" t="s">
        <v>1234</v>
      </c>
      <c r="C49" t="s" cm="1">
        <v>1114</v>
      </c>
      <c r="D49" t="s">
        <v>1235</v>
      </c>
      <c r="E49" t="s">
        <v>1236</v>
      </c>
    </row>
    <row r="50" spans="1:5" x14ac:dyDescent="0.25">
      <c r="A50" t="s">
        <v>877</v>
      </c>
      <c r="B50" t="s">
        <v>1237</v>
      </c>
      <c r="C50" t="s" cm="1">
        <v>1170</v>
      </c>
      <c r="D50" t="s">
        <v>1238</v>
      </c>
      <c r="E50" t="s">
        <v>1239</v>
      </c>
    </row>
    <row r="51" spans="1:5" x14ac:dyDescent="0.25">
      <c r="A51" t="s">
        <v>878</v>
      </c>
      <c r="B51" t="s">
        <v>1240</v>
      </c>
      <c r="C51" t="s" cm="1">
        <v>1114</v>
      </c>
      <c r="D51" t="s">
        <v>1241</v>
      </c>
      <c r="E51" t="s">
        <v>1239</v>
      </c>
    </row>
    <row r="52" spans="1:5" x14ac:dyDescent="0.25">
      <c r="A52" t="s">
        <v>879</v>
      </c>
      <c r="B52" t="s">
        <v>1242</v>
      </c>
      <c r="C52" t="s" cm="1">
        <v>1114</v>
      </c>
      <c r="D52" t="s">
        <v>1243</v>
      </c>
      <c r="E52" t="s">
        <v>1244</v>
      </c>
    </row>
    <row r="53" spans="1:5" x14ac:dyDescent="0.25">
      <c r="A53" t="s">
        <v>880</v>
      </c>
      <c r="B53" t="s">
        <v>1245</v>
      </c>
      <c r="C53" t="s" cm="1">
        <v>1114</v>
      </c>
      <c r="D53" t="s">
        <v>1246</v>
      </c>
      <c r="E53" t="s">
        <v>1247</v>
      </c>
    </row>
    <row r="54" spans="1:5" x14ac:dyDescent="0.25">
      <c r="A54" t="s">
        <v>881</v>
      </c>
      <c r="B54" t="s">
        <v>1248</v>
      </c>
      <c r="C54" t="s" cm="1">
        <v>1249</v>
      </c>
      <c r="D54" t="s">
        <v>1250</v>
      </c>
      <c r="E54" t="s">
        <v>1251</v>
      </c>
    </row>
    <row r="55" spans="1:5" x14ac:dyDescent="0.25">
      <c r="A55" t="s">
        <v>882</v>
      </c>
      <c r="B55" t="s">
        <v>1252</v>
      </c>
      <c r="C55" t="s" cm="1">
        <v>1107</v>
      </c>
      <c r="D55" t="s">
        <v>1253</v>
      </c>
      <c r="E55" t="s">
        <v>1251</v>
      </c>
    </row>
    <row r="56" spans="1:5" x14ac:dyDescent="0.25">
      <c r="A56" t="s">
        <v>883</v>
      </c>
      <c r="B56" t="s">
        <v>1254</v>
      </c>
      <c r="C56" t="s" cm="1">
        <v>1170</v>
      </c>
      <c r="D56" t="s">
        <v>1255</v>
      </c>
      <c r="E56" t="s">
        <v>1256</v>
      </c>
    </row>
    <row r="57" spans="1:5" x14ac:dyDescent="0.25">
      <c r="A57" t="s">
        <v>884</v>
      </c>
      <c r="B57" t="s">
        <v>1257</v>
      </c>
      <c r="C57" t="s" cm="1">
        <v>1249</v>
      </c>
      <c r="D57" t="s">
        <v>1258</v>
      </c>
      <c r="E57" t="s">
        <v>1256</v>
      </c>
    </row>
    <row r="58" spans="1:5" x14ac:dyDescent="0.25">
      <c r="A58" t="s">
        <v>885</v>
      </c>
      <c r="B58" t="s">
        <v>1259</v>
      </c>
      <c r="C58" t="s" cm="1">
        <v>1170</v>
      </c>
      <c r="D58" t="s">
        <v>1260</v>
      </c>
      <c r="E58" t="s">
        <v>1261</v>
      </c>
    </row>
    <row r="59" spans="1:5" x14ac:dyDescent="0.25">
      <c r="A59" t="s">
        <v>886</v>
      </c>
      <c r="B59" t="s">
        <v>1262</v>
      </c>
      <c r="C59" t="s" cm="1">
        <v>1114</v>
      </c>
      <c r="D59" t="s">
        <v>1263</v>
      </c>
      <c r="E59" t="s">
        <v>1261</v>
      </c>
    </row>
    <row r="60" spans="1:5" x14ac:dyDescent="0.25">
      <c r="A60" t="s">
        <v>887</v>
      </c>
      <c r="B60" t="s">
        <v>1264</v>
      </c>
      <c r="C60" t="s" cm="1">
        <v>1170</v>
      </c>
      <c r="D60" t="s">
        <v>1265</v>
      </c>
      <c r="E60" t="s">
        <v>1266</v>
      </c>
    </row>
    <row r="61" spans="1:5" x14ac:dyDescent="0.25">
      <c r="A61" t="s">
        <v>888</v>
      </c>
      <c r="B61" t="s">
        <v>1267</v>
      </c>
      <c r="C61" t="s" cm="1">
        <v>1170</v>
      </c>
      <c r="D61" t="s">
        <v>1268</v>
      </c>
      <c r="E61" t="s">
        <v>1269</v>
      </c>
    </row>
    <row r="62" spans="1:5" x14ac:dyDescent="0.25">
      <c r="A62" t="s">
        <v>889</v>
      </c>
      <c r="B62" t="s">
        <v>1270</v>
      </c>
      <c r="C62" t="s" cm="1">
        <v>1114</v>
      </c>
      <c r="D62" t="s">
        <v>1271</v>
      </c>
      <c r="E62" t="s">
        <v>1272</v>
      </c>
    </row>
    <row r="63" spans="1:5" x14ac:dyDescent="0.25">
      <c r="A63" t="s">
        <v>890</v>
      </c>
      <c r="B63" t="s">
        <v>1273</v>
      </c>
      <c r="C63" t="s" cm="1">
        <v>1170</v>
      </c>
      <c r="D63" t="s">
        <v>1274</v>
      </c>
      <c r="E63" t="s">
        <v>1275</v>
      </c>
    </row>
    <row r="64" spans="1:5" x14ac:dyDescent="0.25">
      <c r="A64" t="s">
        <v>891</v>
      </c>
      <c r="B64" t="s">
        <v>1276</v>
      </c>
      <c r="C64" t="s" cm="1">
        <v>1170</v>
      </c>
      <c r="D64" t="s">
        <v>1277</v>
      </c>
      <c r="E64" t="s">
        <v>1278</v>
      </c>
    </row>
    <row r="65" spans="1:5" x14ac:dyDescent="0.25">
      <c r="A65" t="s">
        <v>892</v>
      </c>
      <c r="B65" t="s">
        <v>1279</v>
      </c>
      <c r="C65" t="s" cm="1">
        <v>1114</v>
      </c>
      <c r="D65" t="s">
        <v>1280</v>
      </c>
      <c r="E65" t="s">
        <v>1281</v>
      </c>
    </row>
    <row r="66" spans="1:5" x14ac:dyDescent="0.25">
      <c r="A66" t="s">
        <v>893</v>
      </c>
      <c r="B66" t="s">
        <v>1282</v>
      </c>
      <c r="C66" t="s" cm="1">
        <v>1114</v>
      </c>
      <c r="D66" t="s">
        <v>1283</v>
      </c>
      <c r="E66" t="s">
        <v>1284</v>
      </c>
    </row>
    <row r="67" spans="1:5" x14ac:dyDescent="0.25">
      <c r="A67" t="s">
        <v>894</v>
      </c>
      <c r="B67" t="s">
        <v>1285</v>
      </c>
      <c r="C67" t="s" cm="1">
        <v>1170</v>
      </c>
      <c r="D67" t="s">
        <v>1286</v>
      </c>
      <c r="E67" t="s">
        <v>1284</v>
      </c>
    </row>
    <row r="68" spans="1:5" x14ac:dyDescent="0.25">
      <c r="A68" t="s">
        <v>895</v>
      </c>
      <c r="B68" t="s">
        <v>1287</v>
      </c>
      <c r="C68" t="s" cm="1">
        <v>1170</v>
      </c>
      <c r="D68" t="s">
        <v>1288</v>
      </c>
      <c r="E68" t="s">
        <v>1284</v>
      </c>
    </row>
    <row r="69" spans="1:5" x14ac:dyDescent="0.25">
      <c r="A69" t="s">
        <v>896</v>
      </c>
      <c r="B69" t="s">
        <v>1289</v>
      </c>
      <c r="C69" t="s" cm="1">
        <v>1170</v>
      </c>
      <c r="D69" t="s">
        <v>1290</v>
      </c>
      <c r="E69" t="s">
        <v>1284</v>
      </c>
    </row>
    <row r="70" spans="1:5" x14ac:dyDescent="0.25">
      <c r="A70" t="s">
        <v>897</v>
      </c>
      <c r="B70" t="s">
        <v>1291</v>
      </c>
      <c r="C70" t="s" cm="1">
        <v>1114</v>
      </c>
      <c r="D70" t="s">
        <v>1292</v>
      </c>
      <c r="E70" t="s">
        <v>1293</v>
      </c>
    </row>
    <row r="71" spans="1:5" x14ac:dyDescent="0.25">
      <c r="A71" t="s">
        <v>898</v>
      </c>
      <c r="B71" t="s">
        <v>1294</v>
      </c>
      <c r="C71" t="s" cm="1">
        <v>1170</v>
      </c>
      <c r="D71" t="s">
        <v>1295</v>
      </c>
      <c r="E71" t="s">
        <v>1293</v>
      </c>
    </row>
    <row r="72" spans="1:5" x14ac:dyDescent="0.25">
      <c r="A72" t="s">
        <v>899</v>
      </c>
      <c r="B72" t="s">
        <v>1296</v>
      </c>
      <c r="C72" t="s" cm="1">
        <v>1114</v>
      </c>
      <c r="D72" t="s">
        <v>1297</v>
      </c>
      <c r="E72" t="s">
        <v>1293</v>
      </c>
    </row>
    <row r="73" spans="1:5" x14ac:dyDescent="0.25">
      <c r="A73" t="s">
        <v>900</v>
      </c>
      <c r="B73" t="s">
        <v>1298</v>
      </c>
      <c r="C73" t="s" cm="1">
        <v>1114</v>
      </c>
      <c r="D73" t="s">
        <v>1299</v>
      </c>
      <c r="E73" t="s">
        <v>1300</v>
      </c>
    </row>
    <row r="74" spans="1:5" x14ac:dyDescent="0.25">
      <c r="A74" t="s">
        <v>901</v>
      </c>
      <c r="B74" t="s">
        <v>1301</v>
      </c>
      <c r="C74" t="s" cm="1">
        <v>1114</v>
      </c>
      <c r="D74" t="s">
        <v>1302</v>
      </c>
      <c r="E74" t="s">
        <v>1300</v>
      </c>
    </row>
    <row r="75" spans="1:5" x14ac:dyDescent="0.25">
      <c r="A75" t="s">
        <v>902</v>
      </c>
      <c r="B75" t="s">
        <v>1303</v>
      </c>
      <c r="C75" t="s" cm="1">
        <v>1170</v>
      </c>
      <c r="D75" t="s">
        <v>1304</v>
      </c>
      <c r="E75" t="s">
        <v>1300</v>
      </c>
    </row>
    <row r="76" spans="1:5" x14ac:dyDescent="0.25">
      <c r="A76" t="s">
        <v>903</v>
      </c>
      <c r="B76" t="s">
        <v>1305</v>
      </c>
      <c r="C76" t="s" cm="1">
        <v>1170</v>
      </c>
      <c r="D76" t="s">
        <v>1306</v>
      </c>
      <c r="E76" t="s">
        <v>1307</v>
      </c>
    </row>
    <row r="77" spans="1:5" x14ac:dyDescent="0.25">
      <c r="A77" t="s">
        <v>904</v>
      </c>
      <c r="B77" t="s">
        <v>1308</v>
      </c>
      <c r="C77" t="s" cm="1">
        <v>1170</v>
      </c>
      <c r="D77" t="s">
        <v>1309</v>
      </c>
      <c r="E77" t="s">
        <v>1307</v>
      </c>
    </row>
    <row r="78" spans="1:5" x14ac:dyDescent="0.25">
      <c r="A78" t="s">
        <v>905</v>
      </c>
      <c r="B78" t="s">
        <v>1310</v>
      </c>
      <c r="C78" t="s" cm="1">
        <v>1170</v>
      </c>
      <c r="D78" t="s">
        <v>1311</v>
      </c>
      <c r="E78" t="s">
        <v>1307</v>
      </c>
    </row>
    <row r="79" spans="1:5" x14ac:dyDescent="0.25">
      <c r="A79" t="s">
        <v>906</v>
      </c>
      <c r="B79" t="s">
        <v>1312</v>
      </c>
      <c r="C79" t="s" cm="1">
        <v>1114</v>
      </c>
      <c r="D79" t="s">
        <v>1313</v>
      </c>
      <c r="E79" t="s">
        <v>1314</v>
      </c>
    </row>
    <row r="80" spans="1:5" x14ac:dyDescent="0.25">
      <c r="A80" t="s">
        <v>907</v>
      </c>
      <c r="B80" t="s">
        <v>1315</v>
      </c>
      <c r="C80" t="s" cm="1">
        <v>1170</v>
      </c>
      <c r="D80" t="s">
        <v>1316</v>
      </c>
      <c r="E80" t="s">
        <v>1317</v>
      </c>
    </row>
    <row r="81" spans="1:5" x14ac:dyDescent="0.25">
      <c r="A81" t="s">
        <v>908</v>
      </c>
      <c r="B81" t="s">
        <v>1318</v>
      </c>
      <c r="C81" t="s" cm="1">
        <v>1170</v>
      </c>
      <c r="D81" t="s">
        <v>1319</v>
      </c>
      <c r="E81" t="s">
        <v>1317</v>
      </c>
    </row>
    <row r="82" spans="1:5" x14ac:dyDescent="0.25">
      <c r="A82" t="s">
        <v>909</v>
      </c>
      <c r="B82" t="s">
        <v>1320</v>
      </c>
      <c r="C82" t="s" cm="1">
        <v>1170</v>
      </c>
      <c r="D82" t="s">
        <v>1321</v>
      </c>
      <c r="E82" t="s">
        <v>1317</v>
      </c>
    </row>
    <row r="83" spans="1:5" x14ac:dyDescent="0.25">
      <c r="A83" t="s">
        <v>910</v>
      </c>
      <c r="B83" t="s">
        <v>1322</v>
      </c>
      <c r="C83" t="s" cm="1">
        <v>1170</v>
      </c>
      <c r="D83" t="s">
        <v>1323</v>
      </c>
      <c r="E83" t="s">
        <v>1324</v>
      </c>
    </row>
    <row r="84" spans="1:5" x14ac:dyDescent="0.25">
      <c r="A84" t="s">
        <v>911</v>
      </c>
      <c r="B84" t="s">
        <v>1325</v>
      </c>
      <c r="C84" t="s" cm="1">
        <v>1114</v>
      </c>
      <c r="D84" t="s">
        <v>1326</v>
      </c>
      <c r="E84" t="s">
        <v>1324</v>
      </c>
    </row>
    <row r="85" spans="1:5" x14ac:dyDescent="0.25">
      <c r="A85" t="s">
        <v>912</v>
      </c>
      <c r="B85" t="s">
        <v>1327</v>
      </c>
      <c r="C85" t="s" cm="1">
        <v>1170</v>
      </c>
      <c r="D85" t="s">
        <v>1328</v>
      </c>
      <c r="E85" t="s">
        <v>1329</v>
      </c>
    </row>
    <row r="86" spans="1:5" x14ac:dyDescent="0.25">
      <c r="A86" t="s">
        <v>913</v>
      </c>
      <c r="B86" t="s">
        <v>1330</v>
      </c>
      <c r="C86" t="s" cm="1">
        <v>1170</v>
      </c>
      <c r="D86" t="s">
        <v>1331</v>
      </c>
      <c r="E86" t="s">
        <v>1332</v>
      </c>
    </row>
    <row r="87" spans="1:5" x14ac:dyDescent="0.25">
      <c r="A87" t="s">
        <v>914</v>
      </c>
      <c r="B87" t="s">
        <v>1333</v>
      </c>
      <c r="C87" t="s" cm="1">
        <v>1170</v>
      </c>
      <c r="D87" t="s">
        <v>1334</v>
      </c>
      <c r="E87" t="s">
        <v>1332</v>
      </c>
    </row>
    <row r="88" spans="1:5" x14ac:dyDescent="0.25">
      <c r="A88" t="s">
        <v>915</v>
      </c>
      <c r="B88" t="s">
        <v>1335</v>
      </c>
      <c r="C88" t="s" cm="1">
        <v>1170</v>
      </c>
      <c r="D88" t="s">
        <v>1336</v>
      </c>
      <c r="E88" t="s">
        <v>1337</v>
      </c>
    </row>
    <row r="89" spans="1:5" x14ac:dyDescent="0.25">
      <c r="A89" t="s">
        <v>916</v>
      </c>
      <c r="B89" t="s">
        <v>1338</v>
      </c>
      <c r="C89" t="s" cm="1">
        <v>1170</v>
      </c>
      <c r="D89" t="s">
        <v>1339</v>
      </c>
      <c r="E89" t="s">
        <v>1337</v>
      </c>
    </row>
    <row r="90" spans="1:5" x14ac:dyDescent="0.25">
      <c r="A90" t="s">
        <v>917</v>
      </c>
      <c r="B90" t="s">
        <v>1340</v>
      </c>
      <c r="C90" t="s" cm="1">
        <v>1170</v>
      </c>
      <c r="D90" t="s">
        <v>1341</v>
      </c>
      <c r="E90" t="s">
        <v>1342</v>
      </c>
    </row>
    <row r="91" spans="1:5" x14ac:dyDescent="0.25">
      <c r="A91" t="s">
        <v>918</v>
      </c>
      <c r="B91" t="s">
        <v>1343</v>
      </c>
      <c r="C91" t="s" cm="1">
        <v>1114</v>
      </c>
      <c r="D91" t="s">
        <v>1344</v>
      </c>
      <c r="E91" t="s">
        <v>1342</v>
      </c>
    </row>
    <row r="92" spans="1:5" x14ac:dyDescent="0.25">
      <c r="A92" t="s">
        <v>919</v>
      </c>
      <c r="B92" t="s">
        <v>1345</v>
      </c>
      <c r="C92" t="s" cm="1">
        <v>1114</v>
      </c>
      <c r="D92" t="s">
        <v>1346</v>
      </c>
      <c r="E92" t="s">
        <v>1342</v>
      </c>
    </row>
    <row r="93" spans="1:5" x14ac:dyDescent="0.25">
      <c r="A93" t="s">
        <v>920</v>
      </c>
      <c r="B93" t="s">
        <v>1347</v>
      </c>
      <c r="C93" t="s" cm="1">
        <v>1114</v>
      </c>
      <c r="D93" t="s">
        <v>1348</v>
      </c>
      <c r="E93" t="s">
        <v>1349</v>
      </c>
    </row>
    <row r="94" spans="1:5" x14ac:dyDescent="0.25">
      <c r="A94" t="s">
        <v>921</v>
      </c>
      <c r="B94" t="s">
        <v>1350</v>
      </c>
      <c r="C94" t="s" cm="1">
        <v>1114</v>
      </c>
      <c r="D94" t="s">
        <v>1351</v>
      </c>
      <c r="E94" t="s">
        <v>1349</v>
      </c>
    </row>
    <row r="95" spans="1:5" x14ac:dyDescent="0.25">
      <c r="A95" t="s">
        <v>922</v>
      </c>
      <c r="B95" t="s">
        <v>1352</v>
      </c>
      <c r="C95" t="s" cm="1">
        <v>1114</v>
      </c>
      <c r="D95" t="s">
        <v>1353</v>
      </c>
      <c r="E95" t="s">
        <v>1349</v>
      </c>
    </row>
    <row r="96" spans="1:5" x14ac:dyDescent="0.25">
      <c r="A96" t="s">
        <v>923</v>
      </c>
      <c r="B96" t="s">
        <v>1354</v>
      </c>
      <c r="C96" t="s" cm="1">
        <v>1170</v>
      </c>
      <c r="D96" t="s">
        <v>1355</v>
      </c>
      <c r="E96" t="s">
        <v>1356</v>
      </c>
    </row>
    <row r="97" spans="1:5" x14ac:dyDescent="0.25">
      <c r="A97" t="s">
        <v>924</v>
      </c>
      <c r="B97" t="s">
        <v>1357</v>
      </c>
      <c r="C97" t="s" cm="1">
        <v>1170</v>
      </c>
      <c r="D97" t="s">
        <v>1358</v>
      </c>
      <c r="E97" t="s">
        <v>1359</v>
      </c>
    </row>
    <row r="98" spans="1:5" x14ac:dyDescent="0.25">
      <c r="A98" t="s">
        <v>925</v>
      </c>
      <c r="B98" t="s">
        <v>1360</v>
      </c>
      <c r="C98" t="s" cm="1">
        <v>1170</v>
      </c>
      <c r="D98" t="s">
        <v>1361</v>
      </c>
      <c r="E98" t="s">
        <v>1359</v>
      </c>
    </row>
    <row r="99" spans="1:5" x14ac:dyDescent="0.25">
      <c r="A99" t="s">
        <v>926</v>
      </c>
      <c r="B99" t="s">
        <v>1362</v>
      </c>
      <c r="C99" t="s" cm="1">
        <v>1170</v>
      </c>
      <c r="D99" t="s">
        <v>1363</v>
      </c>
      <c r="E99" t="s">
        <v>1359</v>
      </c>
    </row>
    <row r="100" spans="1:5" x14ac:dyDescent="0.25">
      <c r="A100" t="s">
        <v>927</v>
      </c>
      <c r="B100" t="s">
        <v>1364</v>
      </c>
      <c r="C100" t="s" cm="1">
        <v>1170</v>
      </c>
      <c r="D100" t="s">
        <v>1365</v>
      </c>
      <c r="E100" t="s">
        <v>1359</v>
      </c>
    </row>
    <row r="101" spans="1:5" x14ac:dyDescent="0.25">
      <c r="A101" t="s">
        <v>928</v>
      </c>
      <c r="B101" t="s">
        <v>1366</v>
      </c>
      <c r="C101" t="s" cm="1">
        <v>1114</v>
      </c>
      <c r="D101" t="s">
        <v>1367</v>
      </c>
      <c r="E101" t="s">
        <v>1368</v>
      </c>
    </row>
    <row r="102" spans="1:5" x14ac:dyDescent="0.25">
      <c r="A102" t="s">
        <v>929</v>
      </c>
      <c r="B102" t="s">
        <v>1369</v>
      </c>
      <c r="C102" t="s" cm="1">
        <v>1114</v>
      </c>
      <c r="D102" t="s">
        <v>1370</v>
      </c>
      <c r="E102" t="s">
        <v>1368</v>
      </c>
    </row>
    <row r="103" spans="1:5" x14ac:dyDescent="0.25">
      <c r="A103" t="s">
        <v>930</v>
      </c>
      <c r="B103" t="s">
        <v>1371</v>
      </c>
      <c r="C103" t="s" cm="1">
        <v>1170</v>
      </c>
      <c r="D103" t="s">
        <v>1372</v>
      </c>
      <c r="E103" t="s">
        <v>1373</v>
      </c>
    </row>
    <row r="104" spans="1:5" x14ac:dyDescent="0.25">
      <c r="A104" t="s">
        <v>931</v>
      </c>
      <c r="B104" t="s">
        <v>1374</v>
      </c>
      <c r="C104" t="s" cm="1">
        <v>1249</v>
      </c>
      <c r="D104" t="s">
        <v>1375</v>
      </c>
      <c r="E104" t="s">
        <v>1376</v>
      </c>
    </row>
    <row r="105" spans="1:5" x14ac:dyDescent="0.25">
      <c r="A105" t="s">
        <v>932</v>
      </c>
      <c r="B105" t="s">
        <v>1377</v>
      </c>
      <c r="C105" t="s" cm="1">
        <v>1114</v>
      </c>
      <c r="D105" t="s">
        <v>1378</v>
      </c>
      <c r="E105" t="s">
        <v>1379</v>
      </c>
    </row>
    <row r="106" spans="1:5" x14ac:dyDescent="0.25">
      <c r="A106" t="s">
        <v>933</v>
      </c>
      <c r="B106" t="s">
        <v>1380</v>
      </c>
      <c r="C106" t="s" cm="1">
        <v>1114</v>
      </c>
      <c r="D106" t="s">
        <v>1381</v>
      </c>
      <c r="E106" t="s">
        <v>1379</v>
      </c>
    </row>
    <row r="107" spans="1:5" x14ac:dyDescent="0.25">
      <c r="A107" t="s">
        <v>934</v>
      </c>
      <c r="B107" t="s">
        <v>1382</v>
      </c>
      <c r="C107" t="s" cm="1">
        <v>1170</v>
      </c>
      <c r="D107" t="s">
        <v>1383</v>
      </c>
      <c r="E107" t="s">
        <v>1384</v>
      </c>
    </row>
    <row r="108" spans="1:5" x14ac:dyDescent="0.25">
      <c r="A108" t="s">
        <v>935</v>
      </c>
      <c r="B108" t="s">
        <v>1385</v>
      </c>
      <c r="C108" t="s" cm="1">
        <v>1170</v>
      </c>
      <c r="D108" t="s">
        <v>1386</v>
      </c>
      <c r="E108" t="s">
        <v>1387</v>
      </c>
    </row>
    <row r="109" spans="1:5" x14ac:dyDescent="0.25">
      <c r="A109" t="s">
        <v>936</v>
      </c>
      <c r="B109" t="s">
        <v>1388</v>
      </c>
      <c r="C109" t="s" cm="1">
        <v>1249</v>
      </c>
      <c r="D109" t="s">
        <v>1389</v>
      </c>
      <c r="E109" t="s">
        <v>1387</v>
      </c>
    </row>
    <row r="110" spans="1:5" x14ac:dyDescent="0.25">
      <c r="A110" t="s">
        <v>937</v>
      </c>
      <c r="B110" t="s">
        <v>1390</v>
      </c>
      <c r="C110" t="s" cm="1">
        <v>1170</v>
      </c>
      <c r="D110" t="s">
        <v>1391</v>
      </c>
      <c r="E110" t="s">
        <v>1387</v>
      </c>
    </row>
    <row r="111" spans="1:5" x14ac:dyDescent="0.25">
      <c r="A111" t="s">
        <v>938</v>
      </c>
      <c r="B111" t="s">
        <v>1392</v>
      </c>
      <c r="C111" t="s" cm="1">
        <v>1170</v>
      </c>
      <c r="D111" t="s">
        <v>1393</v>
      </c>
      <c r="E111" t="s">
        <v>1394</v>
      </c>
    </row>
    <row r="112" spans="1:5" x14ac:dyDescent="0.25">
      <c r="A112" t="s">
        <v>939</v>
      </c>
      <c r="B112" t="s">
        <v>1395</v>
      </c>
      <c r="C112" t="s" cm="1">
        <v>1170</v>
      </c>
      <c r="D112" t="s">
        <v>1396</v>
      </c>
      <c r="E112" t="s">
        <v>1397</v>
      </c>
    </row>
    <row r="113" spans="1:5" x14ac:dyDescent="0.25">
      <c r="A113" t="s">
        <v>940</v>
      </c>
      <c r="B113" t="s">
        <v>1398</v>
      </c>
      <c r="C113" t="s" cm="1">
        <v>1249</v>
      </c>
      <c r="D113" t="s">
        <v>1399</v>
      </c>
      <c r="E113" t="s">
        <v>1400</v>
      </c>
    </row>
    <row r="114" spans="1:5" x14ac:dyDescent="0.25">
      <c r="A114" t="s">
        <v>941</v>
      </c>
      <c r="B114" t="s">
        <v>1401</v>
      </c>
      <c r="C114" t="s" cm="1">
        <v>1170</v>
      </c>
      <c r="D114" t="s">
        <v>1402</v>
      </c>
      <c r="E114" t="s">
        <v>1400</v>
      </c>
    </row>
    <row r="115" spans="1:5" x14ac:dyDescent="0.25">
      <c r="A115" t="s">
        <v>942</v>
      </c>
      <c r="B115" t="s">
        <v>1403</v>
      </c>
      <c r="C115" t="s" cm="1">
        <v>1170</v>
      </c>
      <c r="D115" t="s">
        <v>1404</v>
      </c>
      <c r="E115" t="s">
        <v>1400</v>
      </c>
    </row>
    <row r="116" spans="1:5" x14ac:dyDescent="0.25">
      <c r="A116" t="s">
        <v>943</v>
      </c>
      <c r="B116" t="s">
        <v>1405</v>
      </c>
      <c r="C116" t="s" cm="1">
        <v>1170</v>
      </c>
      <c r="D116" t="s">
        <v>1406</v>
      </c>
      <c r="E116" t="s">
        <v>1400</v>
      </c>
    </row>
    <row r="117" spans="1:5" x14ac:dyDescent="0.25">
      <c r="A117" t="s">
        <v>944</v>
      </c>
      <c r="B117" t="s">
        <v>1407</v>
      </c>
      <c r="C117" t="s" cm="1">
        <v>1114</v>
      </c>
      <c r="D117" t="s">
        <v>1408</v>
      </c>
      <c r="E117" t="s">
        <v>1400</v>
      </c>
    </row>
    <row r="118" spans="1:5" x14ac:dyDescent="0.25">
      <c r="A118" t="s">
        <v>945</v>
      </c>
      <c r="B118" t="s">
        <v>1409</v>
      </c>
      <c r="C118" t="s" cm="1">
        <v>1114</v>
      </c>
      <c r="D118" t="s">
        <v>1410</v>
      </c>
      <c r="E118" t="s">
        <v>1411</v>
      </c>
    </row>
    <row r="119" spans="1:5" x14ac:dyDescent="0.25">
      <c r="A119" t="s">
        <v>946</v>
      </c>
      <c r="B119" t="s">
        <v>1412</v>
      </c>
      <c r="C119" t="s" cm="1">
        <v>1170</v>
      </c>
      <c r="D119" t="s">
        <v>1413</v>
      </c>
      <c r="E119" t="s">
        <v>1411</v>
      </c>
    </row>
    <row r="120" spans="1:5" x14ac:dyDescent="0.25">
      <c r="A120" t="s">
        <v>947</v>
      </c>
      <c r="B120" t="s">
        <v>1414</v>
      </c>
      <c r="C120" t="s" cm="1">
        <v>1249</v>
      </c>
      <c r="D120" t="s">
        <v>1415</v>
      </c>
      <c r="E120" t="s">
        <v>1416</v>
      </c>
    </row>
    <row r="121" spans="1:5" x14ac:dyDescent="0.25">
      <c r="A121" t="s">
        <v>948</v>
      </c>
      <c r="B121" t="s">
        <v>1417</v>
      </c>
      <c r="C121" t="s" cm="1">
        <v>1418</v>
      </c>
      <c r="D121" t="s">
        <v>1419</v>
      </c>
      <c r="E121" t="s">
        <v>1420</v>
      </c>
    </row>
    <row r="122" spans="1:5" x14ac:dyDescent="0.25">
      <c r="A122" t="s">
        <v>949</v>
      </c>
      <c r="B122" t="s">
        <v>1421</v>
      </c>
      <c r="C122" t="s" cm="1">
        <v>1249</v>
      </c>
      <c r="D122" t="s">
        <v>1422</v>
      </c>
      <c r="E122" t="s">
        <v>1420</v>
      </c>
    </row>
    <row r="123" spans="1:5" x14ac:dyDescent="0.25">
      <c r="A123" t="s">
        <v>950</v>
      </c>
      <c r="B123" t="s">
        <v>1423</v>
      </c>
      <c r="C123" t="s" cm="1">
        <v>1107</v>
      </c>
      <c r="D123" t="s">
        <v>1424</v>
      </c>
      <c r="E123" t="s">
        <v>1425</v>
      </c>
    </row>
    <row r="124" spans="1:5" x14ac:dyDescent="0.25">
      <c r="A124" t="s">
        <v>951</v>
      </c>
      <c r="B124" t="s">
        <v>1426</v>
      </c>
      <c r="C124" t="s" cm="1">
        <v>1170</v>
      </c>
      <c r="D124" t="s">
        <v>1427</v>
      </c>
      <c r="E124" t="s">
        <v>1425</v>
      </c>
    </row>
    <row r="125" spans="1:5" x14ac:dyDescent="0.25">
      <c r="A125" t="s">
        <v>952</v>
      </c>
      <c r="B125" t="s">
        <v>1428</v>
      </c>
      <c r="C125" t="s" cm="1">
        <v>1170</v>
      </c>
      <c r="D125" t="s">
        <v>1429</v>
      </c>
      <c r="E125" t="s">
        <v>1430</v>
      </c>
    </row>
    <row r="126" spans="1:5" x14ac:dyDescent="0.25">
      <c r="A126" t="s">
        <v>953</v>
      </c>
      <c r="B126" t="s">
        <v>1431</v>
      </c>
      <c r="C126" t="s" cm="1">
        <v>1114</v>
      </c>
      <c r="D126" t="s">
        <v>1432</v>
      </c>
      <c r="E126" t="s">
        <v>1430</v>
      </c>
    </row>
    <row r="127" spans="1:5" x14ac:dyDescent="0.25">
      <c r="A127" t="s">
        <v>954</v>
      </c>
      <c r="B127" t="s">
        <v>1433</v>
      </c>
      <c r="C127" t="s" cm="1">
        <v>1170</v>
      </c>
      <c r="D127" t="s">
        <v>1434</v>
      </c>
      <c r="E127" t="s">
        <v>1430</v>
      </c>
    </row>
    <row r="128" spans="1:5" x14ac:dyDescent="0.25">
      <c r="A128" t="s">
        <v>955</v>
      </c>
      <c r="B128" t="s">
        <v>1435</v>
      </c>
      <c r="C128" t="s" cm="1">
        <v>1114</v>
      </c>
      <c r="D128" t="s">
        <v>1436</v>
      </c>
      <c r="E128" t="s">
        <v>1437</v>
      </c>
    </row>
    <row r="129" spans="1:5" x14ac:dyDescent="0.25">
      <c r="A129" t="s">
        <v>956</v>
      </c>
      <c r="B129" t="s">
        <v>1438</v>
      </c>
      <c r="C129" t="s" cm="1">
        <v>1114</v>
      </c>
      <c r="D129" t="s">
        <v>1439</v>
      </c>
      <c r="E129" t="s">
        <v>1440</v>
      </c>
    </row>
    <row r="130" spans="1:5" x14ac:dyDescent="0.25">
      <c r="A130" t="s">
        <v>957</v>
      </c>
      <c r="B130" t="s">
        <v>1441</v>
      </c>
      <c r="C130" t="s" cm="1">
        <v>1170</v>
      </c>
      <c r="D130" t="s">
        <v>1442</v>
      </c>
      <c r="E130" t="s">
        <v>1440</v>
      </c>
    </row>
    <row r="131" spans="1:5" x14ac:dyDescent="0.25">
      <c r="A131" t="s">
        <v>958</v>
      </c>
      <c r="B131" t="s">
        <v>1443</v>
      </c>
      <c r="C131" t="s" cm="1">
        <v>1418</v>
      </c>
      <c r="D131" t="s">
        <v>1444</v>
      </c>
      <c r="E131" t="s">
        <v>1445</v>
      </c>
    </row>
    <row r="132" spans="1:5" x14ac:dyDescent="0.25">
      <c r="A132" t="s">
        <v>959</v>
      </c>
      <c r="B132" t="s">
        <v>1446</v>
      </c>
      <c r="C132" t="s" cm="1">
        <v>1170</v>
      </c>
      <c r="D132" t="s">
        <v>1447</v>
      </c>
      <c r="E132" t="s">
        <v>1445</v>
      </c>
    </row>
    <row r="133" spans="1:5" x14ac:dyDescent="0.25">
      <c r="A133" t="s">
        <v>960</v>
      </c>
      <c r="B133" t="s">
        <v>1448</v>
      </c>
      <c r="C133" t="s" cm="1">
        <v>1249</v>
      </c>
      <c r="D133" t="s">
        <v>1449</v>
      </c>
      <c r="E133" t="s">
        <v>1445</v>
      </c>
    </row>
    <row r="134" spans="1:5" x14ac:dyDescent="0.25">
      <c r="A134" t="s">
        <v>961</v>
      </c>
      <c r="B134" t="s">
        <v>1450</v>
      </c>
      <c r="C134" t="s" cm="1">
        <v>1170</v>
      </c>
      <c r="D134" t="s">
        <v>1451</v>
      </c>
      <c r="E134" t="s">
        <v>1445</v>
      </c>
    </row>
    <row r="135" spans="1:5" x14ac:dyDescent="0.25">
      <c r="A135" t="s">
        <v>962</v>
      </c>
      <c r="B135" t="s">
        <v>1452</v>
      </c>
      <c r="C135" t="s" cm="1">
        <v>1249</v>
      </c>
      <c r="D135" t="s">
        <v>1453</v>
      </c>
      <c r="E135" t="s">
        <v>1454</v>
      </c>
    </row>
    <row r="136" spans="1:5" x14ac:dyDescent="0.25">
      <c r="A136" t="s">
        <v>963</v>
      </c>
      <c r="B136" t="s">
        <v>1455</v>
      </c>
      <c r="C136" t="s" cm="1">
        <v>1418</v>
      </c>
      <c r="D136" t="s">
        <v>1456</v>
      </c>
      <c r="E136" t="s">
        <v>1454</v>
      </c>
    </row>
    <row r="137" spans="1:5" x14ac:dyDescent="0.25">
      <c r="A137" t="s">
        <v>964</v>
      </c>
      <c r="B137" t="s">
        <v>1457</v>
      </c>
      <c r="C137" t="s" cm="1">
        <v>1170</v>
      </c>
      <c r="D137" t="s">
        <v>1458</v>
      </c>
      <c r="E137" t="s">
        <v>1459</v>
      </c>
    </row>
    <row r="138" spans="1:5" x14ac:dyDescent="0.25">
      <c r="A138" t="s">
        <v>965</v>
      </c>
      <c r="B138" t="s">
        <v>1460</v>
      </c>
      <c r="C138" t="s" cm="1">
        <v>1170</v>
      </c>
      <c r="D138" t="s">
        <v>1461</v>
      </c>
      <c r="E138" t="s">
        <v>1459</v>
      </c>
    </row>
    <row r="139" spans="1:5" x14ac:dyDescent="0.25">
      <c r="A139" t="s">
        <v>966</v>
      </c>
      <c r="B139" t="s">
        <v>1462</v>
      </c>
      <c r="C139" t="s" cm="1">
        <v>1170</v>
      </c>
      <c r="D139" t="s">
        <v>1463</v>
      </c>
      <c r="E139" t="s">
        <v>1459</v>
      </c>
    </row>
    <row r="140" spans="1:5" x14ac:dyDescent="0.25">
      <c r="A140" t="s">
        <v>967</v>
      </c>
      <c r="B140" t="s">
        <v>1464</v>
      </c>
      <c r="C140" t="s" cm="1">
        <v>1170</v>
      </c>
      <c r="D140" t="s">
        <v>1465</v>
      </c>
      <c r="E140" t="s">
        <v>1466</v>
      </c>
    </row>
    <row r="141" spans="1:5" x14ac:dyDescent="0.25">
      <c r="A141" t="s">
        <v>968</v>
      </c>
      <c r="B141" t="s">
        <v>1467</v>
      </c>
      <c r="C141" t="s" cm="1">
        <v>1170</v>
      </c>
      <c r="D141" t="s">
        <v>1468</v>
      </c>
      <c r="E141" t="s">
        <v>1469</v>
      </c>
    </row>
    <row r="142" spans="1:5" x14ac:dyDescent="0.25">
      <c r="A142" t="s">
        <v>969</v>
      </c>
      <c r="B142" t="s">
        <v>1470</v>
      </c>
      <c r="C142" t="s" cm="1">
        <v>1114</v>
      </c>
      <c r="D142" t="s">
        <v>1471</v>
      </c>
      <c r="E142" t="s">
        <v>1469</v>
      </c>
    </row>
    <row r="143" spans="1:5" x14ac:dyDescent="0.25">
      <c r="A143" t="s">
        <v>970</v>
      </c>
      <c r="B143" t="s">
        <v>1472</v>
      </c>
      <c r="C143" t="s" cm="1">
        <v>1418</v>
      </c>
      <c r="D143" t="s">
        <v>1473</v>
      </c>
      <c r="E143" t="s">
        <v>1469</v>
      </c>
    </row>
    <row r="144" spans="1:5" x14ac:dyDescent="0.25">
      <c r="A144" t="s">
        <v>971</v>
      </c>
      <c r="B144" t="s">
        <v>1474</v>
      </c>
      <c r="C144" t="s" cm="1">
        <v>1170</v>
      </c>
      <c r="D144" t="s">
        <v>1475</v>
      </c>
      <c r="E144" t="s">
        <v>1469</v>
      </c>
    </row>
    <row r="145" spans="1:5" x14ac:dyDescent="0.25">
      <c r="A145" t="s">
        <v>972</v>
      </c>
      <c r="B145" t="s">
        <v>1476</v>
      </c>
      <c r="C145" t="s" cm="1">
        <v>1418</v>
      </c>
      <c r="D145" t="s">
        <v>1477</v>
      </c>
      <c r="E145" t="s">
        <v>1469</v>
      </c>
    </row>
    <row r="146" spans="1:5" x14ac:dyDescent="0.25">
      <c r="A146" t="s">
        <v>973</v>
      </c>
      <c r="B146" t="s">
        <v>1478</v>
      </c>
      <c r="C146" t="s" cm="1">
        <v>1170</v>
      </c>
      <c r="D146" t="s">
        <v>1479</v>
      </c>
      <c r="E146" t="s">
        <v>1469</v>
      </c>
    </row>
    <row r="147" spans="1:5" x14ac:dyDescent="0.25">
      <c r="A147" t="s">
        <v>974</v>
      </c>
      <c r="B147" t="s">
        <v>1480</v>
      </c>
      <c r="C147" t="s" cm="1">
        <v>1170</v>
      </c>
      <c r="D147" t="s">
        <v>1481</v>
      </c>
      <c r="E147" t="s">
        <v>1469</v>
      </c>
    </row>
    <row r="148" spans="1:5" x14ac:dyDescent="0.25">
      <c r="A148" t="s">
        <v>975</v>
      </c>
      <c r="B148" t="s">
        <v>1482</v>
      </c>
      <c r="C148" t="s" cm="1">
        <v>1249</v>
      </c>
      <c r="D148" t="s">
        <v>1483</v>
      </c>
      <c r="E148" t="s">
        <v>1469</v>
      </c>
    </row>
    <row r="149" spans="1:5" x14ac:dyDescent="0.25">
      <c r="A149" t="s">
        <v>976</v>
      </c>
      <c r="B149" t="s">
        <v>1484</v>
      </c>
      <c r="C149" t="s" cm="1">
        <v>1170</v>
      </c>
      <c r="D149" t="s">
        <v>1485</v>
      </c>
      <c r="E149" t="s">
        <v>1486</v>
      </c>
    </row>
    <row r="150" spans="1:5" x14ac:dyDescent="0.25">
      <c r="A150" t="s">
        <v>977</v>
      </c>
      <c r="B150" t="s">
        <v>1487</v>
      </c>
      <c r="C150" t="s" cm="1">
        <v>1418</v>
      </c>
      <c r="D150" t="s">
        <v>1488</v>
      </c>
      <c r="E150" t="s">
        <v>1486</v>
      </c>
    </row>
    <row r="151" spans="1:5" x14ac:dyDescent="0.25">
      <c r="A151" t="s">
        <v>978</v>
      </c>
      <c r="B151" t="s">
        <v>1489</v>
      </c>
      <c r="C151" t="s" cm="1">
        <v>1170</v>
      </c>
      <c r="D151" t="s">
        <v>1490</v>
      </c>
      <c r="E151" t="s">
        <v>1491</v>
      </c>
    </row>
    <row r="152" spans="1:5" x14ac:dyDescent="0.25">
      <c r="A152" t="s">
        <v>979</v>
      </c>
      <c r="B152" t="s">
        <v>1492</v>
      </c>
      <c r="C152" t="s" cm="1">
        <v>1114</v>
      </c>
      <c r="D152" t="s">
        <v>1493</v>
      </c>
      <c r="E152" t="s">
        <v>1491</v>
      </c>
    </row>
    <row r="153" spans="1:5" x14ac:dyDescent="0.25">
      <c r="A153" t="s">
        <v>980</v>
      </c>
      <c r="B153" t="s">
        <v>1494</v>
      </c>
      <c r="C153" t="s" cm="1">
        <v>1170</v>
      </c>
      <c r="D153" t="s">
        <v>1495</v>
      </c>
      <c r="E153" t="s">
        <v>1491</v>
      </c>
    </row>
    <row r="154" spans="1:5" x14ac:dyDescent="0.25">
      <c r="A154" t="s">
        <v>981</v>
      </c>
      <c r="B154" t="s">
        <v>1496</v>
      </c>
      <c r="C154" t="s" cm="1">
        <v>1418</v>
      </c>
      <c r="D154" t="s">
        <v>1497</v>
      </c>
      <c r="E154" t="s">
        <v>1491</v>
      </c>
    </row>
    <row r="155" spans="1:5" x14ac:dyDescent="0.25">
      <c r="A155" t="s">
        <v>982</v>
      </c>
      <c r="B155" t="s">
        <v>1498</v>
      </c>
      <c r="C155" t="s" cm="1">
        <v>1170</v>
      </c>
      <c r="D155" t="s">
        <v>1499</v>
      </c>
      <c r="E155" t="s">
        <v>1491</v>
      </c>
    </row>
    <row r="156" spans="1:5" x14ac:dyDescent="0.25">
      <c r="A156" t="s">
        <v>983</v>
      </c>
      <c r="B156" t="s">
        <v>1500</v>
      </c>
      <c r="C156" t="s" cm="1">
        <v>1170</v>
      </c>
      <c r="D156" t="s">
        <v>1501</v>
      </c>
      <c r="E156" t="s">
        <v>1491</v>
      </c>
    </row>
    <row r="157" spans="1:5" x14ac:dyDescent="0.25">
      <c r="A157" t="s">
        <v>984</v>
      </c>
      <c r="B157" t="s">
        <v>1502</v>
      </c>
      <c r="C157" t="s" cm="1">
        <v>1418</v>
      </c>
      <c r="D157" t="s">
        <v>1503</v>
      </c>
      <c r="E157" t="s">
        <v>1504</v>
      </c>
    </row>
    <row r="158" spans="1:5" x14ac:dyDescent="0.25">
      <c r="A158" t="s">
        <v>985</v>
      </c>
      <c r="B158" t="s">
        <v>1505</v>
      </c>
      <c r="C158" t="s" cm="1">
        <v>1249</v>
      </c>
      <c r="D158" t="s">
        <v>1506</v>
      </c>
      <c r="E158" t="s">
        <v>1504</v>
      </c>
    </row>
    <row r="159" spans="1:5" x14ac:dyDescent="0.25">
      <c r="A159" t="s">
        <v>986</v>
      </c>
      <c r="B159" t="s">
        <v>1507</v>
      </c>
      <c r="C159" t="s" cm="1">
        <v>1249</v>
      </c>
      <c r="D159" t="s">
        <v>1508</v>
      </c>
      <c r="E159" t="s">
        <v>1504</v>
      </c>
    </row>
    <row r="160" spans="1:5" x14ac:dyDescent="0.25">
      <c r="A160" t="s">
        <v>987</v>
      </c>
      <c r="B160" t="s">
        <v>1509</v>
      </c>
      <c r="C160" t="s" cm="1">
        <v>1249</v>
      </c>
      <c r="D160" t="s">
        <v>1510</v>
      </c>
      <c r="E160" t="s">
        <v>1504</v>
      </c>
    </row>
    <row r="161" spans="1:5" x14ac:dyDescent="0.25">
      <c r="A161" t="s">
        <v>988</v>
      </c>
      <c r="B161" t="s">
        <v>1511</v>
      </c>
      <c r="C161" t="s" cm="1">
        <v>1170</v>
      </c>
      <c r="D161" t="s">
        <v>1512</v>
      </c>
      <c r="E161" t="s">
        <v>1513</v>
      </c>
    </row>
    <row r="162" spans="1:5" x14ac:dyDescent="0.25">
      <c r="A162" t="s">
        <v>989</v>
      </c>
      <c r="B162" t="s">
        <v>1514</v>
      </c>
      <c r="C162" t="s" cm="1">
        <v>1170</v>
      </c>
      <c r="D162" t="s">
        <v>1515</v>
      </c>
      <c r="E162" t="s">
        <v>1513</v>
      </c>
    </row>
    <row r="163" spans="1:5" x14ac:dyDescent="0.25">
      <c r="A163" t="s">
        <v>990</v>
      </c>
      <c r="B163" t="s">
        <v>1516</v>
      </c>
      <c r="C163" t="s" cm="1">
        <v>1249</v>
      </c>
      <c r="D163" t="s">
        <v>1517</v>
      </c>
      <c r="E163" t="s">
        <v>1513</v>
      </c>
    </row>
    <row r="164" spans="1:5" x14ac:dyDescent="0.25">
      <c r="A164" t="s">
        <v>991</v>
      </c>
      <c r="B164" t="s">
        <v>1518</v>
      </c>
      <c r="C164" t="s" cm="1">
        <v>1418</v>
      </c>
      <c r="D164" t="s">
        <v>1519</v>
      </c>
      <c r="E164" t="s">
        <v>1513</v>
      </c>
    </row>
    <row r="165" spans="1:5" x14ac:dyDescent="0.25">
      <c r="A165" t="s">
        <v>992</v>
      </c>
      <c r="B165" t="s">
        <v>1520</v>
      </c>
      <c r="C165" t="s" cm="1">
        <v>1418</v>
      </c>
      <c r="D165" t="s">
        <v>1521</v>
      </c>
      <c r="E165" t="s">
        <v>1522</v>
      </c>
    </row>
    <row r="166" spans="1:5" x14ac:dyDescent="0.25">
      <c r="A166" t="s">
        <v>993</v>
      </c>
      <c r="B166" t="s">
        <v>1523</v>
      </c>
      <c r="C166" t="s" cm="1">
        <v>1249</v>
      </c>
      <c r="D166" t="s">
        <v>1524</v>
      </c>
      <c r="E166" t="s">
        <v>1522</v>
      </c>
    </row>
    <row r="167" spans="1:5" x14ac:dyDescent="0.25">
      <c r="A167" t="s">
        <v>994</v>
      </c>
      <c r="B167" t="s">
        <v>1525</v>
      </c>
      <c r="C167" t="s" cm="1">
        <v>1114</v>
      </c>
      <c r="D167" t="s">
        <v>1526</v>
      </c>
      <c r="E167" t="s">
        <v>1522</v>
      </c>
    </row>
    <row r="168" spans="1:5" x14ac:dyDescent="0.25">
      <c r="A168" t="s">
        <v>995</v>
      </c>
      <c r="B168" t="s">
        <v>1527</v>
      </c>
      <c r="C168" t="s" cm="1">
        <v>1249</v>
      </c>
      <c r="D168" t="s">
        <v>1528</v>
      </c>
      <c r="E168" t="s">
        <v>1522</v>
      </c>
    </row>
    <row r="169" spans="1:5" x14ac:dyDescent="0.25">
      <c r="A169" t="s">
        <v>996</v>
      </c>
      <c r="B169" t="s">
        <v>1529</v>
      </c>
      <c r="C169" t="s" cm="1">
        <v>1170</v>
      </c>
      <c r="D169" t="s">
        <v>1530</v>
      </c>
      <c r="E169" t="s">
        <v>1522</v>
      </c>
    </row>
    <row r="170" spans="1:5" x14ac:dyDescent="0.25">
      <c r="A170" t="s">
        <v>997</v>
      </c>
      <c r="B170" t="s">
        <v>1531</v>
      </c>
      <c r="C170" t="s" cm="1">
        <v>1170</v>
      </c>
      <c r="D170" t="s">
        <v>1532</v>
      </c>
      <c r="E170" t="s">
        <v>1533</v>
      </c>
    </row>
    <row r="171" spans="1:5" x14ac:dyDescent="0.25">
      <c r="A171" t="s">
        <v>998</v>
      </c>
      <c r="B171" t="s">
        <v>1534</v>
      </c>
      <c r="C171" t="s" cm="1">
        <v>1249</v>
      </c>
      <c r="D171" t="s">
        <v>1535</v>
      </c>
      <c r="E171" t="s">
        <v>1533</v>
      </c>
    </row>
    <row r="172" spans="1:5" x14ac:dyDescent="0.25">
      <c r="A172" t="s">
        <v>999</v>
      </c>
      <c r="B172" t="s">
        <v>1536</v>
      </c>
      <c r="C172" t="s" cm="1">
        <v>1170</v>
      </c>
      <c r="D172" t="s">
        <v>1537</v>
      </c>
      <c r="E172" t="s">
        <v>1538</v>
      </c>
    </row>
    <row r="173" spans="1:5" x14ac:dyDescent="0.25">
      <c r="A173" t="s">
        <v>1000</v>
      </c>
      <c r="B173" t="s">
        <v>1539</v>
      </c>
      <c r="C173" t="s" cm="1">
        <v>1249</v>
      </c>
      <c r="D173" t="s">
        <v>1540</v>
      </c>
      <c r="E173" t="s">
        <v>1538</v>
      </c>
    </row>
    <row r="174" spans="1:5" x14ac:dyDescent="0.25">
      <c r="A174" t="s">
        <v>1001</v>
      </c>
      <c r="B174" t="s">
        <v>1541</v>
      </c>
      <c r="C174" t="s" cm="1">
        <v>1249</v>
      </c>
      <c r="D174" t="s">
        <v>1542</v>
      </c>
      <c r="E174" t="s">
        <v>1538</v>
      </c>
    </row>
    <row r="175" spans="1:5" x14ac:dyDescent="0.25">
      <c r="A175" t="s">
        <v>1002</v>
      </c>
      <c r="B175" t="s">
        <v>1543</v>
      </c>
      <c r="C175" t="s" cm="1">
        <v>1170</v>
      </c>
      <c r="D175" t="s">
        <v>1544</v>
      </c>
      <c r="E175" t="s">
        <v>1545</v>
      </c>
    </row>
    <row r="176" spans="1:5" x14ac:dyDescent="0.25">
      <c r="A176" t="s">
        <v>1003</v>
      </c>
      <c r="B176" t="s">
        <v>1546</v>
      </c>
      <c r="C176" t="s" cm="1">
        <v>1114</v>
      </c>
      <c r="D176" t="s">
        <v>1547</v>
      </c>
      <c r="E176" t="s">
        <v>1545</v>
      </c>
    </row>
    <row r="177" spans="1:5" x14ac:dyDescent="0.25">
      <c r="A177" t="s">
        <v>1004</v>
      </c>
      <c r="B177" t="s">
        <v>1548</v>
      </c>
      <c r="C177" t="s" cm="1">
        <v>1114</v>
      </c>
      <c r="D177" t="s">
        <v>1549</v>
      </c>
      <c r="E177" t="s">
        <v>1545</v>
      </c>
    </row>
    <row r="178" spans="1:5" x14ac:dyDescent="0.25">
      <c r="A178" t="s">
        <v>1005</v>
      </c>
      <c r="B178" t="s">
        <v>1550</v>
      </c>
      <c r="C178" t="s" cm="1">
        <v>1249</v>
      </c>
      <c r="D178" t="s">
        <v>1551</v>
      </c>
      <c r="E178" t="s">
        <v>1552</v>
      </c>
    </row>
    <row r="179" spans="1:5" x14ac:dyDescent="0.25">
      <c r="A179" t="s">
        <v>1006</v>
      </c>
      <c r="B179" t="s">
        <v>1553</v>
      </c>
      <c r="C179" t="s" cm="1">
        <v>1170</v>
      </c>
      <c r="D179" t="s">
        <v>1554</v>
      </c>
      <c r="E179" t="s">
        <v>1552</v>
      </c>
    </row>
    <row r="180" spans="1:5" x14ac:dyDescent="0.25">
      <c r="A180" t="s">
        <v>1007</v>
      </c>
      <c r="B180" t="s">
        <v>1555</v>
      </c>
      <c r="C180" t="s" cm="1">
        <v>1418</v>
      </c>
      <c r="D180" t="s">
        <v>1556</v>
      </c>
      <c r="E180" t="s">
        <v>1552</v>
      </c>
    </row>
    <row r="181" spans="1:5" x14ac:dyDescent="0.25">
      <c r="A181" t="s">
        <v>1008</v>
      </c>
      <c r="B181" t="s">
        <v>1557</v>
      </c>
      <c r="C181" t="s" cm="1">
        <v>1114</v>
      </c>
      <c r="D181" t="s">
        <v>1558</v>
      </c>
      <c r="E181" t="s">
        <v>1552</v>
      </c>
    </row>
    <row r="182" spans="1:5" x14ac:dyDescent="0.25">
      <c r="A182" t="s">
        <v>1009</v>
      </c>
      <c r="B182" t="s">
        <v>1559</v>
      </c>
      <c r="C182" t="s" cm="1">
        <v>1170</v>
      </c>
      <c r="D182" t="s">
        <v>1560</v>
      </c>
      <c r="E182" t="s">
        <v>1561</v>
      </c>
    </row>
    <row r="183" spans="1:5" x14ac:dyDescent="0.25">
      <c r="A183" t="s">
        <v>1010</v>
      </c>
      <c r="B183" t="s">
        <v>1562</v>
      </c>
      <c r="C183" t="s" cm="1">
        <v>1418</v>
      </c>
      <c r="D183" t="s">
        <v>1563</v>
      </c>
      <c r="E183" t="s">
        <v>1561</v>
      </c>
    </row>
    <row r="184" spans="1:5" x14ac:dyDescent="0.25">
      <c r="A184" t="s">
        <v>1011</v>
      </c>
      <c r="B184" t="s">
        <v>1564</v>
      </c>
      <c r="C184" t="s" cm="1">
        <v>1170</v>
      </c>
      <c r="D184" t="s">
        <v>1565</v>
      </c>
      <c r="E184" t="s">
        <v>1561</v>
      </c>
    </row>
    <row r="185" spans="1:5" x14ac:dyDescent="0.25">
      <c r="A185" t="s">
        <v>1012</v>
      </c>
      <c r="B185" t="s">
        <v>1566</v>
      </c>
      <c r="C185" t="s" cm="1">
        <v>1418</v>
      </c>
      <c r="D185" t="s">
        <v>1567</v>
      </c>
      <c r="E185" t="s">
        <v>1568</v>
      </c>
    </row>
    <row r="186" spans="1:5" x14ac:dyDescent="0.25">
      <c r="A186" t="s">
        <v>1013</v>
      </c>
      <c r="B186" t="s">
        <v>1569</v>
      </c>
      <c r="C186" t="s" cm="1">
        <v>1170</v>
      </c>
      <c r="D186" t="s">
        <v>1570</v>
      </c>
      <c r="E186" t="s">
        <v>1568</v>
      </c>
    </row>
    <row r="187" spans="1:5" x14ac:dyDescent="0.25">
      <c r="A187" t="s">
        <v>1014</v>
      </c>
      <c r="B187" t="s">
        <v>1571</v>
      </c>
      <c r="C187" t="s" cm="1">
        <v>1114</v>
      </c>
      <c r="D187" t="s">
        <v>1572</v>
      </c>
      <c r="E187" t="s">
        <v>1568</v>
      </c>
    </row>
    <row r="188" spans="1:5" x14ac:dyDescent="0.25">
      <c r="A188" t="s">
        <v>1015</v>
      </c>
      <c r="B188" t="s">
        <v>1573</v>
      </c>
      <c r="C188" t="s" cm="1">
        <v>1249</v>
      </c>
      <c r="D188" t="s">
        <v>1574</v>
      </c>
      <c r="E188" t="s">
        <v>1568</v>
      </c>
    </row>
    <row r="189" spans="1:5" x14ac:dyDescent="0.25">
      <c r="A189" t="s">
        <v>1016</v>
      </c>
      <c r="B189" t="s">
        <v>1575</v>
      </c>
      <c r="C189" t="s" cm="1">
        <v>1418</v>
      </c>
      <c r="D189" t="s">
        <v>1576</v>
      </c>
      <c r="E189" t="s">
        <v>1568</v>
      </c>
    </row>
    <row r="190" spans="1:5" x14ac:dyDescent="0.25">
      <c r="A190" t="s">
        <v>1017</v>
      </c>
      <c r="B190" t="s">
        <v>1577</v>
      </c>
      <c r="C190" t="s" cm="1">
        <v>1418</v>
      </c>
      <c r="D190" t="s">
        <v>1578</v>
      </c>
      <c r="E190" t="s">
        <v>1579</v>
      </c>
    </row>
    <row r="191" spans="1:5" x14ac:dyDescent="0.25">
      <c r="A191" t="s">
        <v>1018</v>
      </c>
      <c r="B191" t="s">
        <v>1580</v>
      </c>
      <c r="C191" t="s" cm="1">
        <v>1249</v>
      </c>
      <c r="D191" t="s">
        <v>1581</v>
      </c>
      <c r="E191" t="s">
        <v>1582</v>
      </c>
    </row>
    <row r="192" spans="1:5" x14ac:dyDescent="0.25">
      <c r="A192" t="s">
        <v>1019</v>
      </c>
      <c r="B192" t="s">
        <v>1583</v>
      </c>
      <c r="C192" t="s" cm="1">
        <v>1170</v>
      </c>
      <c r="D192" t="s">
        <v>1584</v>
      </c>
      <c r="E192" t="s">
        <v>1582</v>
      </c>
    </row>
    <row r="193" spans="1:5" x14ac:dyDescent="0.25">
      <c r="A193" t="s">
        <v>1020</v>
      </c>
      <c r="B193" t="s">
        <v>1585</v>
      </c>
      <c r="C193" t="s" cm="1">
        <v>1418</v>
      </c>
      <c r="D193" t="s">
        <v>1586</v>
      </c>
      <c r="E193" t="s">
        <v>1582</v>
      </c>
    </row>
    <row r="194" spans="1:5" x14ac:dyDescent="0.25">
      <c r="A194" t="s">
        <v>1021</v>
      </c>
      <c r="B194" t="s">
        <v>1587</v>
      </c>
      <c r="C194" t="s" cm="1">
        <v>1170</v>
      </c>
      <c r="D194" t="s">
        <v>1588</v>
      </c>
      <c r="E194" t="s">
        <v>1582</v>
      </c>
    </row>
    <row r="195" spans="1:5" x14ac:dyDescent="0.25">
      <c r="A195" t="s">
        <v>1022</v>
      </c>
      <c r="B195" t="s">
        <v>1589</v>
      </c>
      <c r="C195" t="s" cm="1">
        <v>1418</v>
      </c>
      <c r="D195" t="s">
        <v>1590</v>
      </c>
      <c r="E195" t="s">
        <v>1582</v>
      </c>
    </row>
    <row r="196" spans="1:5" x14ac:dyDescent="0.25">
      <c r="A196" t="s">
        <v>1023</v>
      </c>
      <c r="B196" t="s">
        <v>1591</v>
      </c>
      <c r="C196" t="s" cm="1">
        <v>1418</v>
      </c>
      <c r="D196" t="s">
        <v>1592</v>
      </c>
      <c r="E196" t="s">
        <v>1582</v>
      </c>
    </row>
    <row r="197" spans="1:5" x14ac:dyDescent="0.25">
      <c r="A197" t="s">
        <v>1024</v>
      </c>
      <c r="B197" t="s">
        <v>1593</v>
      </c>
      <c r="C197" t="s" cm="1">
        <v>1114</v>
      </c>
      <c r="D197" t="s">
        <v>1594</v>
      </c>
      <c r="E197" t="s">
        <v>1582</v>
      </c>
    </row>
    <row r="198" spans="1:5" x14ac:dyDescent="0.25">
      <c r="A198" t="s">
        <v>1025</v>
      </c>
      <c r="B198" t="s">
        <v>1595</v>
      </c>
      <c r="C198" t="s" cm="1">
        <v>1170</v>
      </c>
      <c r="D198" t="s">
        <v>1596</v>
      </c>
      <c r="E198" t="s">
        <v>1582</v>
      </c>
    </row>
    <row r="199" spans="1:5" x14ac:dyDescent="0.25">
      <c r="A199" t="s">
        <v>1026</v>
      </c>
      <c r="B199" t="s">
        <v>1597</v>
      </c>
      <c r="C199" t="s" cm="1">
        <v>1170</v>
      </c>
      <c r="D199" t="s">
        <v>1598</v>
      </c>
      <c r="E199" t="s">
        <v>1599</v>
      </c>
    </row>
    <row r="200" spans="1:5" x14ac:dyDescent="0.25">
      <c r="A200" t="s">
        <v>1027</v>
      </c>
      <c r="B200" t="s">
        <v>1600</v>
      </c>
      <c r="C200" t="s" cm="1">
        <v>1170</v>
      </c>
      <c r="D200" t="s">
        <v>1601</v>
      </c>
      <c r="E200" t="s">
        <v>1599</v>
      </c>
    </row>
    <row r="201" spans="1:5" x14ac:dyDescent="0.25">
      <c r="A201" t="s">
        <v>1028</v>
      </c>
      <c r="B201" t="s">
        <v>1602</v>
      </c>
      <c r="C201" t="s" cm="1">
        <v>1418</v>
      </c>
      <c r="D201" t="s">
        <v>1603</v>
      </c>
      <c r="E201" t="s">
        <v>1599</v>
      </c>
    </row>
    <row r="202" spans="1:5" x14ac:dyDescent="0.25">
      <c r="A202" t="s">
        <v>1029</v>
      </c>
      <c r="B202" t="s">
        <v>1604</v>
      </c>
      <c r="C202" t="s" cm="1">
        <v>1418</v>
      </c>
      <c r="D202" t="s">
        <v>1605</v>
      </c>
      <c r="E202" t="s">
        <v>1599</v>
      </c>
    </row>
    <row r="203" spans="1:5" x14ac:dyDescent="0.25">
      <c r="A203" t="s">
        <v>1030</v>
      </c>
      <c r="B203" t="s">
        <v>1606</v>
      </c>
      <c r="C203" t="s" cm="1">
        <v>1170</v>
      </c>
      <c r="D203" t="s">
        <v>1607</v>
      </c>
      <c r="E203" t="s">
        <v>1599</v>
      </c>
    </row>
    <row r="204" spans="1:5" x14ac:dyDescent="0.25">
      <c r="A204" t="s">
        <v>1031</v>
      </c>
      <c r="B204" t="s">
        <v>1608</v>
      </c>
      <c r="C204" t="s" cm="1">
        <v>1418</v>
      </c>
      <c r="D204" t="s">
        <v>1609</v>
      </c>
      <c r="E204" t="s">
        <v>1610</v>
      </c>
    </row>
    <row r="205" spans="1:5" x14ac:dyDescent="0.25">
      <c r="A205" t="s">
        <v>1032</v>
      </c>
      <c r="B205" t="s">
        <v>1611</v>
      </c>
      <c r="C205" t="s" cm="1">
        <v>1418</v>
      </c>
      <c r="D205" t="s">
        <v>1612</v>
      </c>
      <c r="E205" t="s">
        <v>1610</v>
      </c>
    </row>
    <row r="206" spans="1:5" x14ac:dyDescent="0.25">
      <c r="A206" t="s">
        <v>1033</v>
      </c>
      <c r="B206" t="s">
        <v>1613</v>
      </c>
      <c r="C206" t="s" cm="1">
        <v>1418</v>
      </c>
      <c r="D206" t="s">
        <v>1614</v>
      </c>
      <c r="E206" t="s">
        <v>1610</v>
      </c>
    </row>
    <row r="207" spans="1:5" x14ac:dyDescent="0.25">
      <c r="A207" t="s">
        <v>1034</v>
      </c>
      <c r="B207" t="s">
        <v>1615</v>
      </c>
      <c r="C207" t="s" cm="1">
        <v>1170</v>
      </c>
      <c r="D207" t="s">
        <v>1616</v>
      </c>
      <c r="E207" t="s">
        <v>1617</v>
      </c>
    </row>
    <row r="208" spans="1:5" x14ac:dyDescent="0.25">
      <c r="A208" t="s">
        <v>1035</v>
      </c>
      <c r="B208" t="s">
        <v>1618</v>
      </c>
      <c r="C208" t="s" cm="1">
        <v>1170</v>
      </c>
      <c r="D208" t="s">
        <v>1619</v>
      </c>
      <c r="E208" t="s">
        <v>1620</v>
      </c>
    </row>
    <row r="209" spans="1:5" x14ac:dyDescent="0.25">
      <c r="A209" t="s">
        <v>1036</v>
      </c>
      <c r="B209" t="s">
        <v>1621</v>
      </c>
      <c r="C209" t="s" cm="1">
        <v>1170</v>
      </c>
      <c r="D209" t="s">
        <v>1622</v>
      </c>
      <c r="E209" t="s">
        <v>1620</v>
      </c>
    </row>
    <row r="210" spans="1:5" x14ac:dyDescent="0.25">
      <c r="A210" t="s">
        <v>1037</v>
      </c>
      <c r="B210" t="s">
        <v>1623</v>
      </c>
      <c r="C210" t="s" cm="1">
        <v>1418</v>
      </c>
      <c r="D210" t="s">
        <v>1624</v>
      </c>
      <c r="E210" t="s">
        <v>1620</v>
      </c>
    </row>
    <row r="211" spans="1:5" x14ac:dyDescent="0.25">
      <c r="A211" t="s">
        <v>1038</v>
      </c>
      <c r="B211" t="s">
        <v>1625</v>
      </c>
      <c r="C211" t="s" cm="1">
        <v>1114</v>
      </c>
      <c r="D211" t="s">
        <v>1626</v>
      </c>
      <c r="E211" t="s">
        <v>1620</v>
      </c>
    </row>
    <row r="212" spans="1:5" x14ac:dyDescent="0.25">
      <c r="A212" t="s">
        <v>1039</v>
      </c>
      <c r="B212" t="s">
        <v>1627</v>
      </c>
      <c r="C212" t="s" cm="1">
        <v>1114</v>
      </c>
      <c r="D212" t="s">
        <v>1628</v>
      </c>
      <c r="E212" t="s">
        <v>1620</v>
      </c>
    </row>
    <row r="213" spans="1:5" x14ac:dyDescent="0.25">
      <c r="A213" t="s">
        <v>1040</v>
      </c>
      <c r="B213" t="s">
        <v>1629</v>
      </c>
      <c r="C213" t="s" cm="1">
        <v>1418</v>
      </c>
      <c r="D213" t="s">
        <v>1630</v>
      </c>
      <c r="E213" t="s">
        <v>1620</v>
      </c>
    </row>
    <row r="214" spans="1:5" x14ac:dyDescent="0.25">
      <c r="A214" t="s">
        <v>1041</v>
      </c>
      <c r="B214" t="s">
        <v>1631</v>
      </c>
      <c r="C214" t="s" cm="1">
        <v>1249</v>
      </c>
      <c r="D214" t="s">
        <v>1632</v>
      </c>
      <c r="E214" t="s">
        <v>1633</v>
      </c>
    </row>
    <row r="215" spans="1:5" x14ac:dyDescent="0.25">
      <c r="A215" t="s">
        <v>1042</v>
      </c>
      <c r="B215" t="s">
        <v>1634</v>
      </c>
      <c r="C215" t="s" cm="1">
        <v>1418</v>
      </c>
      <c r="D215" t="s">
        <v>1635</v>
      </c>
      <c r="E215" t="s">
        <v>1633</v>
      </c>
    </row>
    <row r="216" spans="1:5" x14ac:dyDescent="0.25">
      <c r="A216" t="s">
        <v>1043</v>
      </c>
      <c r="B216" t="s">
        <v>1636</v>
      </c>
      <c r="C216" t="s" cm="1">
        <v>1418</v>
      </c>
      <c r="D216" t="s">
        <v>1637</v>
      </c>
      <c r="E216" t="s">
        <v>1633</v>
      </c>
    </row>
    <row r="217" spans="1:5" x14ac:dyDescent="0.25">
      <c r="A217" t="s">
        <v>1044</v>
      </c>
      <c r="B217" t="s">
        <v>1638</v>
      </c>
      <c r="C217" t="s" cm="1">
        <v>1418</v>
      </c>
      <c r="D217" t="s">
        <v>1639</v>
      </c>
      <c r="E217" t="s">
        <v>1633</v>
      </c>
    </row>
    <row r="218" spans="1:5" x14ac:dyDescent="0.25">
      <c r="A218" t="s">
        <v>1045</v>
      </c>
      <c r="B218" t="s">
        <v>1640</v>
      </c>
      <c r="C218" t="s" cm="1">
        <v>1418</v>
      </c>
      <c r="D218" t="s">
        <v>1641</v>
      </c>
      <c r="E218" t="s">
        <v>1633</v>
      </c>
    </row>
    <row r="219" spans="1:5" x14ac:dyDescent="0.25">
      <c r="A219" t="s">
        <v>1046</v>
      </c>
      <c r="B219" t="s">
        <v>1642</v>
      </c>
      <c r="C219" t="s" cm="1">
        <v>1418</v>
      </c>
      <c r="D219" t="s">
        <v>1643</v>
      </c>
      <c r="E219" t="s">
        <v>1644</v>
      </c>
    </row>
    <row r="220" spans="1:5" x14ac:dyDescent="0.25">
      <c r="A220" t="s">
        <v>1047</v>
      </c>
      <c r="B220" t="s">
        <v>1645</v>
      </c>
      <c r="C220" t="s" cm="1">
        <v>1418</v>
      </c>
      <c r="D220" t="s">
        <v>1646</v>
      </c>
      <c r="E220" t="s">
        <v>1644</v>
      </c>
    </row>
    <row r="221" spans="1:5" x14ac:dyDescent="0.25">
      <c r="A221" t="s">
        <v>1048</v>
      </c>
      <c r="B221" t="s">
        <v>1647</v>
      </c>
      <c r="C221" t="s" cm="1">
        <v>1170</v>
      </c>
      <c r="D221" t="s">
        <v>1648</v>
      </c>
      <c r="E221" t="s">
        <v>1649</v>
      </c>
    </row>
    <row r="222" spans="1:5" x14ac:dyDescent="0.25">
      <c r="A222" t="s">
        <v>1049</v>
      </c>
      <c r="B222" t="s">
        <v>1650</v>
      </c>
      <c r="C222" t="s" cm="1">
        <v>1249</v>
      </c>
      <c r="D222" t="s">
        <v>1651</v>
      </c>
      <c r="E222" t="s">
        <v>1649</v>
      </c>
    </row>
    <row r="223" spans="1:5" x14ac:dyDescent="0.25">
      <c r="A223" t="s">
        <v>1050</v>
      </c>
      <c r="B223" t="s">
        <v>1652</v>
      </c>
      <c r="C223" t="s" cm="1">
        <v>1249</v>
      </c>
      <c r="D223" t="s">
        <v>1653</v>
      </c>
      <c r="E223" t="s">
        <v>1649</v>
      </c>
    </row>
    <row r="224" spans="1:5" x14ac:dyDescent="0.25">
      <c r="A224" t="s">
        <v>1051</v>
      </c>
      <c r="B224" t="s">
        <v>1654</v>
      </c>
      <c r="C224" t="s" cm="1">
        <v>1114</v>
      </c>
      <c r="D224" t="s">
        <v>1655</v>
      </c>
      <c r="E224" t="s">
        <v>1649</v>
      </c>
    </row>
    <row r="225" spans="1:5" x14ac:dyDescent="0.25">
      <c r="A225" t="s">
        <v>1052</v>
      </c>
      <c r="B225" t="s">
        <v>1656</v>
      </c>
      <c r="C225" t="s" cm="1">
        <v>1170</v>
      </c>
      <c r="D225" t="s">
        <v>1657</v>
      </c>
      <c r="E225" t="s">
        <v>1658</v>
      </c>
    </row>
    <row r="226" spans="1:5" x14ac:dyDescent="0.25">
      <c r="A226" t="s">
        <v>1053</v>
      </c>
      <c r="B226" t="s">
        <v>1659</v>
      </c>
      <c r="C226" t="s" cm="1">
        <v>1170</v>
      </c>
      <c r="D226" t="s">
        <v>1660</v>
      </c>
      <c r="E226" t="s">
        <v>1658</v>
      </c>
    </row>
    <row r="227" spans="1:5" x14ac:dyDescent="0.25">
      <c r="A227" t="s">
        <v>1054</v>
      </c>
      <c r="B227" t="s">
        <v>1661</v>
      </c>
      <c r="C227" t="s" cm="1">
        <v>1114</v>
      </c>
      <c r="D227" t="s">
        <v>1662</v>
      </c>
      <c r="E227" t="s">
        <v>1658</v>
      </c>
    </row>
    <row r="228" spans="1:5" x14ac:dyDescent="0.25">
      <c r="A228" t="s">
        <v>1055</v>
      </c>
      <c r="B228" t="s">
        <v>1663</v>
      </c>
      <c r="C228" t="s" cm="1">
        <v>1249</v>
      </c>
      <c r="D228" t="s">
        <v>1664</v>
      </c>
      <c r="E228" t="s">
        <v>1665</v>
      </c>
    </row>
    <row r="229" spans="1:5" x14ac:dyDescent="0.25">
      <c r="A229" t="s">
        <v>1056</v>
      </c>
      <c r="B229" t="s">
        <v>1666</v>
      </c>
      <c r="C229" t="s" cm="1">
        <v>1418</v>
      </c>
      <c r="D229" t="s">
        <v>1667</v>
      </c>
      <c r="E229" t="s">
        <v>1665</v>
      </c>
    </row>
    <row r="230" spans="1:5" x14ac:dyDescent="0.25">
      <c r="A230" t="s">
        <v>1057</v>
      </c>
      <c r="B230" t="s">
        <v>1668</v>
      </c>
      <c r="C230" t="s" cm="1">
        <v>1170</v>
      </c>
      <c r="D230" t="s">
        <v>1669</v>
      </c>
      <c r="E230" t="s">
        <v>1665</v>
      </c>
    </row>
    <row r="231" spans="1:5" x14ac:dyDescent="0.25">
      <c r="A231" t="s">
        <v>1058</v>
      </c>
      <c r="B231" t="s">
        <v>1670</v>
      </c>
      <c r="C231" t="s" cm="1">
        <v>1114</v>
      </c>
      <c r="D231" t="s">
        <v>1671</v>
      </c>
      <c r="E231" t="s">
        <v>1672</v>
      </c>
    </row>
    <row r="232" spans="1:5" x14ac:dyDescent="0.25">
      <c r="A232" t="s">
        <v>1059</v>
      </c>
      <c r="B232" t="s">
        <v>1673</v>
      </c>
      <c r="C232" t="s" cm="1">
        <v>1170</v>
      </c>
      <c r="D232" t="s">
        <v>1674</v>
      </c>
      <c r="E232" t="s">
        <v>1675</v>
      </c>
    </row>
    <row r="233" spans="1:5" x14ac:dyDescent="0.25">
      <c r="A233" t="s">
        <v>1060</v>
      </c>
      <c r="B233" t="s">
        <v>1676</v>
      </c>
      <c r="C233" t="s" cm="1">
        <v>1170</v>
      </c>
      <c r="D233" t="s">
        <v>1677</v>
      </c>
      <c r="E233" t="s">
        <v>1675</v>
      </c>
    </row>
    <row r="234" spans="1:5" x14ac:dyDescent="0.25">
      <c r="A234" t="s">
        <v>1061</v>
      </c>
      <c r="B234" t="s">
        <v>1678</v>
      </c>
      <c r="C234" t="s" cm="1">
        <v>1170</v>
      </c>
      <c r="D234" t="s">
        <v>1679</v>
      </c>
      <c r="E234" t="s">
        <v>1675</v>
      </c>
    </row>
    <row r="235" spans="1:5" x14ac:dyDescent="0.25">
      <c r="A235" t="s">
        <v>1062</v>
      </c>
      <c r="B235" t="s">
        <v>1680</v>
      </c>
      <c r="C235" t="s" cm="1">
        <v>1249</v>
      </c>
      <c r="D235" t="s">
        <v>1681</v>
      </c>
      <c r="E235" t="s">
        <v>1682</v>
      </c>
    </row>
    <row r="236" spans="1:5" x14ac:dyDescent="0.25">
      <c r="A236" t="s">
        <v>1063</v>
      </c>
      <c r="B236" t="s">
        <v>1683</v>
      </c>
      <c r="C236" t="s" cm="1">
        <v>1170</v>
      </c>
      <c r="D236" t="s">
        <v>1684</v>
      </c>
      <c r="E236" t="s">
        <v>1682</v>
      </c>
    </row>
    <row r="237" spans="1:5" x14ac:dyDescent="0.25">
      <c r="A237" t="s">
        <v>1064</v>
      </c>
      <c r="B237" t="s">
        <v>1685</v>
      </c>
      <c r="C237" t="s" cm="1">
        <v>1170</v>
      </c>
      <c r="D237" t="s">
        <v>1686</v>
      </c>
      <c r="E237" t="s">
        <v>1687</v>
      </c>
    </row>
    <row r="238" spans="1:5" x14ac:dyDescent="0.25">
      <c r="A238" t="s">
        <v>1065</v>
      </c>
      <c r="B238" t="s">
        <v>1688</v>
      </c>
      <c r="C238" t="s" cm="1">
        <v>1249</v>
      </c>
      <c r="D238" t="s">
        <v>1689</v>
      </c>
      <c r="E238" t="s">
        <v>1687</v>
      </c>
    </row>
    <row r="239" spans="1:5" x14ac:dyDescent="0.25">
      <c r="A239" t="s">
        <v>1066</v>
      </c>
      <c r="B239" t="s">
        <v>1690</v>
      </c>
      <c r="C239" t="s" cm="1">
        <v>1114</v>
      </c>
      <c r="D239" t="s">
        <v>1691</v>
      </c>
      <c r="E239" t="s">
        <v>1692</v>
      </c>
    </row>
    <row r="240" spans="1:5" x14ac:dyDescent="0.25">
      <c r="A240" t="s">
        <v>1067</v>
      </c>
      <c r="B240" t="s">
        <v>1693</v>
      </c>
      <c r="C240" t="s" cm="1">
        <v>1249</v>
      </c>
      <c r="D240" t="s">
        <v>1694</v>
      </c>
      <c r="E240" t="s">
        <v>1692</v>
      </c>
    </row>
    <row r="241" spans="1:5" x14ac:dyDescent="0.25">
      <c r="A241" t="s">
        <v>1068</v>
      </c>
      <c r="B241" t="s">
        <v>1695</v>
      </c>
      <c r="C241" t="s" cm="1">
        <v>1170</v>
      </c>
      <c r="D241" t="s">
        <v>1696</v>
      </c>
      <c r="E241" t="s">
        <v>1697</v>
      </c>
    </row>
    <row r="242" spans="1:5" x14ac:dyDescent="0.25">
      <c r="A242" t="s">
        <v>1069</v>
      </c>
      <c r="B242" t="s">
        <v>1698</v>
      </c>
      <c r="C242" t="s" cm="1">
        <v>1170</v>
      </c>
      <c r="D242" t="s">
        <v>1699</v>
      </c>
      <c r="E242" t="s">
        <v>1697</v>
      </c>
    </row>
    <row r="243" spans="1:5" x14ac:dyDescent="0.25">
      <c r="A243" t="s">
        <v>1070</v>
      </c>
      <c r="B243" t="s">
        <v>1700</v>
      </c>
      <c r="C243" t="s" cm="1">
        <v>1114</v>
      </c>
      <c r="D243" t="s">
        <v>1701</v>
      </c>
      <c r="E243" t="s">
        <v>1702</v>
      </c>
    </row>
    <row r="244" spans="1:5" x14ac:dyDescent="0.25">
      <c r="A244" t="s">
        <v>1071</v>
      </c>
      <c r="B244" t="s">
        <v>1703</v>
      </c>
      <c r="C244" t="s" cm="1">
        <v>1170</v>
      </c>
      <c r="D244" t="s">
        <v>1704</v>
      </c>
      <c r="E244" t="s">
        <v>1702</v>
      </c>
    </row>
    <row r="245" spans="1:5" x14ac:dyDescent="0.25">
      <c r="A245" t="s">
        <v>1072</v>
      </c>
      <c r="B245" t="s">
        <v>1705</v>
      </c>
      <c r="C245" t="s" cm="1">
        <v>1170</v>
      </c>
      <c r="D245" t="s">
        <v>1706</v>
      </c>
      <c r="E245" t="s">
        <v>1702</v>
      </c>
    </row>
    <row r="246" spans="1:5" x14ac:dyDescent="0.25">
      <c r="A246" t="s">
        <v>1073</v>
      </c>
      <c r="B246" t="s">
        <v>1707</v>
      </c>
      <c r="C246" t="s" cm="1">
        <v>1114</v>
      </c>
      <c r="D246" t="s">
        <v>1708</v>
      </c>
      <c r="E246" t="s">
        <v>1709</v>
      </c>
    </row>
    <row r="247" spans="1:5" x14ac:dyDescent="0.25">
      <c r="A247" t="s">
        <v>1074</v>
      </c>
      <c r="B247" t="s">
        <v>1710</v>
      </c>
      <c r="C247" t="s" cm="1">
        <v>1170</v>
      </c>
      <c r="D247" t="s">
        <v>1711</v>
      </c>
      <c r="E247" t="s">
        <v>1709</v>
      </c>
    </row>
    <row r="248" spans="1:5" x14ac:dyDescent="0.25">
      <c r="A248" t="s">
        <v>1075</v>
      </c>
      <c r="B248" t="s">
        <v>1712</v>
      </c>
      <c r="C248" t="s" cm="1">
        <v>1114</v>
      </c>
      <c r="D248" t="s">
        <v>1713</v>
      </c>
      <c r="E248" t="s">
        <v>1714</v>
      </c>
    </row>
    <row r="249" spans="1:5" x14ac:dyDescent="0.25">
      <c r="A249" t="s">
        <v>1076</v>
      </c>
      <c r="B249" t="s">
        <v>1715</v>
      </c>
      <c r="C249" t="s" cm="1">
        <v>1114</v>
      </c>
      <c r="D249" t="s">
        <v>1716</v>
      </c>
      <c r="E249" t="s">
        <v>1717</v>
      </c>
    </row>
    <row r="250" spans="1:5" x14ac:dyDescent="0.25">
      <c r="A250" t="s">
        <v>1077</v>
      </c>
      <c r="B250" t="s">
        <v>1718</v>
      </c>
      <c r="C250" t="s" cm="1">
        <v>1170</v>
      </c>
      <c r="D250" t="s">
        <v>1719</v>
      </c>
      <c r="E250" t="s">
        <v>1717</v>
      </c>
    </row>
    <row r="251" spans="1:5" x14ac:dyDescent="0.25">
      <c r="A251" t="s">
        <v>1078</v>
      </c>
      <c r="B251" t="s">
        <v>1720</v>
      </c>
      <c r="C251" t="s" cm="1">
        <v>1170</v>
      </c>
      <c r="D251" t="s">
        <v>1721</v>
      </c>
      <c r="E251" t="s">
        <v>1722</v>
      </c>
    </row>
    <row r="252" spans="1:5" x14ac:dyDescent="0.25">
      <c r="A252" t="s">
        <v>1079</v>
      </c>
      <c r="B252" t="s">
        <v>1723</v>
      </c>
      <c r="C252" t="s" cm="1">
        <v>1249</v>
      </c>
      <c r="D252" t="s">
        <v>1724</v>
      </c>
      <c r="E252" t="s">
        <v>1725</v>
      </c>
    </row>
    <row r="253" spans="1:5" x14ac:dyDescent="0.25">
      <c r="A253" t="s">
        <v>1080</v>
      </c>
      <c r="B253" t="s">
        <v>1726</v>
      </c>
      <c r="C253" t="s" cm="1">
        <v>1170</v>
      </c>
      <c r="D253" t="s">
        <v>1727</v>
      </c>
      <c r="E253" t="s">
        <v>1725</v>
      </c>
    </row>
    <row r="254" spans="1:5" x14ac:dyDescent="0.25">
      <c r="A254" t="s">
        <v>1081</v>
      </c>
      <c r="B254" t="s">
        <v>1728</v>
      </c>
      <c r="C254" t="s" cm="1">
        <v>1114</v>
      </c>
      <c r="D254" t="s">
        <v>1729</v>
      </c>
      <c r="E254" t="s">
        <v>1725</v>
      </c>
    </row>
    <row r="255" spans="1:5" x14ac:dyDescent="0.25">
      <c r="A255" t="s">
        <v>1082</v>
      </c>
      <c r="B255" t="s">
        <v>1730</v>
      </c>
      <c r="C255" t="s" cm="1">
        <v>1114</v>
      </c>
      <c r="D255" t="s">
        <v>1731</v>
      </c>
      <c r="E255" t="s">
        <v>1725</v>
      </c>
    </row>
    <row r="256" spans="1:5" x14ac:dyDescent="0.25">
      <c r="A256" t="s">
        <v>1083</v>
      </c>
      <c r="B256" t="s">
        <v>1732</v>
      </c>
      <c r="C256" t="s" cm="1">
        <v>1170</v>
      </c>
      <c r="D256" t="s">
        <v>1733</v>
      </c>
      <c r="E256" t="s">
        <v>1734</v>
      </c>
    </row>
    <row r="257" spans="1:5" x14ac:dyDescent="0.25">
      <c r="A257" t="s">
        <v>1084</v>
      </c>
      <c r="B257" t="s">
        <v>1735</v>
      </c>
      <c r="C257" t="s" cm="1">
        <v>1249</v>
      </c>
      <c r="D257" t="s">
        <v>1736</v>
      </c>
      <c r="E257" t="s">
        <v>1734</v>
      </c>
    </row>
    <row r="258" spans="1:5" x14ac:dyDescent="0.25">
      <c r="A258" t="s">
        <v>1085</v>
      </c>
      <c r="B258" t="s">
        <v>1737</v>
      </c>
      <c r="C258" t="s" cm="1">
        <v>1114</v>
      </c>
      <c r="D258" t="s">
        <v>1738</v>
      </c>
      <c r="E258" t="s">
        <v>1734</v>
      </c>
    </row>
    <row r="259" spans="1:5" x14ac:dyDescent="0.25">
      <c r="A259" t="s">
        <v>1086</v>
      </c>
      <c r="B259" t="s">
        <v>1739</v>
      </c>
      <c r="C259" t="s" cm="1">
        <v>1249</v>
      </c>
      <c r="D259" t="s">
        <v>1740</v>
      </c>
      <c r="E259" t="s">
        <v>1741</v>
      </c>
    </row>
    <row r="260" spans="1:5" x14ac:dyDescent="0.25">
      <c r="A260" t="s">
        <v>1087</v>
      </c>
      <c r="B260" t="s">
        <v>1742</v>
      </c>
      <c r="C260" t="s" cm="1">
        <v>1114</v>
      </c>
      <c r="D260" t="s">
        <v>1743</v>
      </c>
      <c r="E260" t="s">
        <v>1741</v>
      </c>
    </row>
    <row r="261" spans="1:5" x14ac:dyDescent="0.25">
      <c r="A261" t="s">
        <v>1088</v>
      </c>
      <c r="B261" t="s">
        <v>1744</v>
      </c>
      <c r="C261" t="s" cm="1">
        <v>1170</v>
      </c>
      <c r="D261" t="s">
        <v>1745</v>
      </c>
      <c r="E261" t="s">
        <v>1741</v>
      </c>
    </row>
    <row r="262" spans="1:5" x14ac:dyDescent="0.25">
      <c r="A262" t="s">
        <v>1089</v>
      </c>
      <c r="B262" t="s">
        <v>1746</v>
      </c>
      <c r="C262" t="s" cm="1">
        <v>1170</v>
      </c>
      <c r="D262" t="s">
        <v>1747</v>
      </c>
      <c r="E262" t="s">
        <v>1748</v>
      </c>
    </row>
    <row r="263" spans="1:5" x14ac:dyDescent="0.25">
      <c r="A263" t="s">
        <v>1090</v>
      </c>
      <c r="B263" t="s">
        <v>1749</v>
      </c>
      <c r="C263" t="s" cm="1">
        <v>1170</v>
      </c>
      <c r="D263" t="s">
        <v>1750</v>
      </c>
      <c r="E263" t="s">
        <v>1748</v>
      </c>
    </row>
    <row r="264" spans="1:5" x14ac:dyDescent="0.25">
      <c r="A264" t="s">
        <v>1091</v>
      </c>
      <c r="B264" t="s">
        <v>1751</v>
      </c>
      <c r="C264" t="s" cm="1">
        <v>1114</v>
      </c>
      <c r="D264" t="s">
        <v>1752</v>
      </c>
      <c r="E264" t="s">
        <v>1748</v>
      </c>
    </row>
    <row r="265" spans="1:5" x14ac:dyDescent="0.25">
      <c r="A265" t="s">
        <v>1092</v>
      </c>
      <c r="B265" t="s">
        <v>1753</v>
      </c>
      <c r="C265" t="s" cm="1">
        <v>1114</v>
      </c>
      <c r="D265" t="s">
        <v>1754</v>
      </c>
      <c r="E265" t="s">
        <v>1755</v>
      </c>
    </row>
    <row r="266" spans="1:5" x14ac:dyDescent="0.25">
      <c r="A266" t="s">
        <v>1093</v>
      </c>
      <c r="B266" t="s">
        <v>1756</v>
      </c>
      <c r="C266" t="s" cm="1">
        <v>1170</v>
      </c>
      <c r="D266" t="s">
        <v>1757</v>
      </c>
      <c r="E266" t="s">
        <v>1755</v>
      </c>
    </row>
    <row r="267" spans="1:5" x14ac:dyDescent="0.25">
      <c r="A267" t="s">
        <v>1094</v>
      </c>
      <c r="B267" t="s">
        <v>1758</v>
      </c>
      <c r="C267" t="s" cm="1">
        <v>1249</v>
      </c>
      <c r="D267" t="s">
        <v>1759</v>
      </c>
      <c r="E267" t="s">
        <v>1755</v>
      </c>
    </row>
    <row r="268" spans="1:5" x14ac:dyDescent="0.25">
      <c r="A268" t="s">
        <v>1095</v>
      </c>
      <c r="B268" t="s">
        <v>1760</v>
      </c>
      <c r="C268" t="s" cm="1">
        <v>1170</v>
      </c>
      <c r="D268" t="s">
        <v>1761</v>
      </c>
      <c r="E268" t="s">
        <v>1755</v>
      </c>
    </row>
    <row r="269" spans="1:5" x14ac:dyDescent="0.25">
      <c r="A269" t="s">
        <v>1096</v>
      </c>
      <c r="B269" t="s">
        <v>1762</v>
      </c>
      <c r="C269" t="s" cm="1">
        <v>1249</v>
      </c>
      <c r="D269" t="s">
        <v>1763</v>
      </c>
      <c r="E269" t="s">
        <v>1764</v>
      </c>
    </row>
    <row r="270" spans="1:5" x14ac:dyDescent="0.25">
      <c r="A270" t="s">
        <v>1097</v>
      </c>
      <c r="B270" t="s">
        <v>1765</v>
      </c>
      <c r="C270" t="s" cm="1">
        <v>1249</v>
      </c>
      <c r="D270" t="s">
        <v>1766</v>
      </c>
      <c r="E270" t="s">
        <v>1764</v>
      </c>
    </row>
    <row r="271" spans="1:5" x14ac:dyDescent="0.25">
      <c r="A271" t="s">
        <v>1098</v>
      </c>
      <c r="B271" t="s">
        <v>1767</v>
      </c>
      <c r="C271" t="s" cm="1">
        <v>1249</v>
      </c>
      <c r="D271" t="s">
        <v>1768</v>
      </c>
      <c r="E271" t="s">
        <v>1764</v>
      </c>
    </row>
    <row r="272" spans="1:5" x14ac:dyDescent="0.25">
      <c r="A272" t="s">
        <v>1099</v>
      </c>
      <c r="B272" t="s">
        <v>1769</v>
      </c>
      <c r="C272" t="s" cm="1">
        <v>1170</v>
      </c>
      <c r="D272" t="s">
        <v>1770</v>
      </c>
      <c r="E272" t="s">
        <v>1771</v>
      </c>
    </row>
    <row r="273" spans="1:5" x14ac:dyDescent="0.25">
      <c r="A273" t="s">
        <v>1100</v>
      </c>
      <c r="B273" t="s">
        <v>1772</v>
      </c>
      <c r="C273" t="s" cm="1">
        <v>1170</v>
      </c>
      <c r="D273" t="s">
        <v>1773</v>
      </c>
      <c r="E273" t="s">
        <v>1771</v>
      </c>
    </row>
    <row r="274" spans="1:5" x14ac:dyDescent="0.25">
      <c r="A274" t="s">
        <v>1101</v>
      </c>
      <c r="B274" t="s">
        <v>1774</v>
      </c>
      <c r="C274" t="s" cm="1">
        <v>1170</v>
      </c>
      <c r="D274" t="s">
        <v>1775</v>
      </c>
      <c r="E274" t="s">
        <v>1771</v>
      </c>
    </row>
    <row r="275" spans="1:5" x14ac:dyDescent="0.25">
      <c r="A275" t="s">
        <v>1102</v>
      </c>
      <c r="B275" t="s">
        <v>1776</v>
      </c>
      <c r="C275" t="s" cm="1">
        <v>1249</v>
      </c>
      <c r="D275" t="s">
        <v>1777</v>
      </c>
      <c r="E275" t="s">
        <v>1771</v>
      </c>
    </row>
    <row r="276" spans="1:5" x14ac:dyDescent="0.25">
      <c r="A276" t="s">
        <v>1103</v>
      </c>
      <c r="B276" t="s">
        <v>1778</v>
      </c>
      <c r="C276" t="s" cm="1">
        <v>1170</v>
      </c>
      <c r="D276" t="s">
        <v>1779</v>
      </c>
      <c r="E276" t="s">
        <v>1780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</vt:lpstr>
      <vt:lpstr>formulas</vt:lpstr>
      <vt:lpstr>clean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A</dc:creator>
  <cp:lastModifiedBy>Ben A</cp:lastModifiedBy>
  <dcterms:created xsi:type="dcterms:W3CDTF">2022-09-06T04:32:56Z</dcterms:created>
  <dcterms:modified xsi:type="dcterms:W3CDTF">2022-12-18T16:17:45Z</dcterms:modified>
</cp:coreProperties>
</file>